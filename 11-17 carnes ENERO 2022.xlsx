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pivotTables/pivotTable14.xml" ContentType="application/vnd.openxmlformats-officedocument.spreadsheetml.pivotTable+xml"/>
  <Override PartName="/xl/drawings/drawing14.xml" ContentType="application/vnd.openxmlformats-officedocument.drawing+xml"/>
  <Override PartName="/xl/pivotTables/pivotTable15.xml" ContentType="application/vnd.openxmlformats-officedocument.spreadsheetml.pivotTable+xml"/>
  <Override PartName="/xl/drawings/drawing15.xml" ContentType="application/vnd.openxmlformats-officedocument.drawing+xml"/>
  <Override PartName="/xl/pivotTables/pivotTable16.xml" ContentType="application/vnd.openxmlformats-officedocument.spreadsheetml.pivotTable+xml"/>
  <Override PartName="/xl/drawings/drawing16.xml" ContentType="application/vnd.openxmlformats-officedocument.drawing+xml"/>
  <Override PartName="/xl/pivotTables/pivotTable17.xml" ContentType="application/vnd.openxmlformats-officedocument.spreadsheetml.pivotTable+xml"/>
  <Override PartName="/xl/drawings/drawing17.xml" ContentType="application/vnd.openxmlformats-officedocument.drawing+xml"/>
  <Override PartName="/xl/pivotTables/pivotTable18.xml" ContentType="application/vnd.openxmlformats-officedocument.spreadsheetml.pivotTable+xml"/>
  <Override PartName="/xl/drawings/drawing18.xml" ContentType="application/vnd.openxmlformats-officedocument.drawing+xml"/>
  <Override PartName="/xl/pivotTables/pivotTable19.xml" ContentType="application/vnd.openxmlformats-officedocument.spreadsheetml.pivotTable+xml"/>
  <Override PartName="/xl/drawings/drawing19.xml" ContentType="application/vnd.openxmlformats-officedocument.drawing+xml"/>
  <Override PartName="/xl/pivotTables/pivotTable20.xml" ContentType="application/vnd.openxmlformats-officedocument.spreadsheetml.pivotTable+xml"/>
  <Override PartName="/xl/drawings/drawing20.xml" ContentType="application/vnd.openxmlformats-officedocument.drawing+xml"/>
  <Override PartName="/xl/pivotTables/pivotTable21.xml" ContentType="application/vnd.openxmlformats-officedocument.spreadsheetml.pivotTable+xml"/>
  <Override PartName="/xl/drawings/drawing21.xml" ContentType="application/vnd.openxmlformats-officedocument.drawing+xml"/>
  <Override PartName="/xl/pivotTables/pivotTable22.xml" ContentType="application/vnd.openxmlformats-officedocument.spreadsheetml.pivotTable+xml"/>
  <Override PartName="/xl/drawings/drawing22.xml" ContentType="application/vnd.openxmlformats-officedocument.drawing+xml"/>
  <Override PartName="/xl/pivotTables/pivotTable23.xml" ContentType="application/vnd.openxmlformats-officedocument.spreadsheetml.pivotTable+xml"/>
  <Override PartName="/xl/drawings/drawing23.xml" ContentType="application/vnd.openxmlformats-officedocument.drawing+xml"/>
  <Override PartName="/xl/pivotTables/pivotTable24.xml" ContentType="application/vnd.openxmlformats-officedocument.spreadsheetml.pivotTable+xml"/>
  <Override PartName="/xl/drawings/drawing24.xml" ContentType="application/vnd.openxmlformats-officedocument.drawing+xml"/>
  <Override PartName="/xl/pivotTables/pivotTable25.xml" ContentType="application/vnd.openxmlformats-officedocument.spreadsheetml.pivotTable+xml"/>
  <Override PartName="/xl/drawings/drawing25.xml" ContentType="application/vnd.openxmlformats-officedocument.drawing+xml"/>
  <Override PartName="/xl/pivotTables/pivotTable26.xml" ContentType="application/vnd.openxmlformats-officedocument.spreadsheetml.pivotTable+xml"/>
  <Override PartName="/xl/drawings/drawing26.xml" ContentType="application/vnd.openxmlformats-officedocument.drawing+xml"/>
  <Override PartName="/xl/tables/table1.xml" ContentType="application/vnd.openxmlformats-officedocument.spreadsheetml.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luism\Desktop\UNI\respaldo\BASE DE DATOS\IMSS2022\CARNES\ENERO\"/>
    </mc:Choice>
  </mc:AlternateContent>
  <xr:revisionPtr revIDLastSave="0" documentId="13_ncr:1_{E4341094-6B02-4DFD-9F89-AA9EFAD1E9AB}" xr6:coauthVersionLast="47" xr6:coauthVersionMax="47" xr10:uidLastSave="{00000000-0000-0000-0000-000000000000}"/>
  <bookViews>
    <workbookView xWindow="-120" yWindow="-120" windowWidth="20730" windowHeight="11160" firstSheet="24" activeTab="31" xr2:uid="{00000000-000D-0000-FFFF-FFFF00000000}"/>
  </bookViews>
  <sheets>
    <sheet name="01# Mar" sheetId="12" r:id="rId1"/>
    <sheet name="01# Mier" sheetId="13" r:id="rId2"/>
    <sheet name="01# Juev" sheetId="14" r:id="rId3"/>
    <sheet name="01# Viern" sheetId="15" r:id="rId4"/>
    <sheet name="01# Saba" sheetId="16" r:id="rId5"/>
    <sheet name="01# Dom" sheetId="17" r:id="rId6"/>
    <sheet name="01# Lun" sheetId="18" r:id="rId7"/>
    <sheet name="02# Mar" sheetId="19" r:id="rId8"/>
    <sheet name="02# Mier" sheetId="20" r:id="rId9"/>
    <sheet name="02# Juev" sheetId="21" r:id="rId10"/>
    <sheet name="02# Viern" sheetId="22" r:id="rId11"/>
    <sheet name="02# Saba" sheetId="23" r:id="rId12"/>
    <sheet name="02# Dom" sheetId="24" r:id="rId13"/>
    <sheet name="02# Lun" sheetId="25" r:id="rId14"/>
    <sheet name="03# Mar" sheetId="26" r:id="rId15"/>
    <sheet name="03# Mier" sheetId="27" r:id="rId16"/>
    <sheet name="03# Juev" sheetId="28" r:id="rId17"/>
    <sheet name="03# Viern" sheetId="29" r:id="rId18"/>
    <sheet name="03# Saba" sheetId="30" r:id="rId19"/>
    <sheet name="03# Dom" sheetId="31" r:id="rId20"/>
    <sheet name="03# Lun" sheetId="32" r:id="rId21"/>
    <sheet name="Gua# Lun" sheetId="34" r:id="rId22"/>
    <sheet name="Gua# Mar" sheetId="36" r:id="rId23"/>
    <sheet name="Gua# Mie" sheetId="37" r:id="rId24"/>
    <sheet name="Gua# Juev" sheetId="38" r:id="rId25"/>
    <sheet name="Gua# Vier" sheetId="39" r:id="rId26"/>
    <sheet name="IMSS 1" sheetId="1" r:id="rId27"/>
    <sheet name="IMSS 2" sheetId="2" r:id="rId28"/>
    <sheet name="IMSS3" sheetId="3" r:id="rId29"/>
    <sheet name="GUARDERIA" sheetId="4" r:id="rId30"/>
    <sheet name="Totales" sheetId="5" r:id="rId31"/>
    <sheet name="PRECIOS" sheetId="6" r:id="rId32"/>
    <sheet name="ORDENES " sheetId="7" r:id="rId33"/>
    <sheet name="Hoja1" sheetId="46" r:id="rId34"/>
    <sheet name="PEDIDOS 2000" sheetId="42" r:id="rId35"/>
    <sheet name="Ped Guarde" sheetId="43" r:id="rId36"/>
    <sheet name="Kilos" sheetId="44" r:id="rId37"/>
    <sheet name="Hoja34" sheetId="45" r:id="rId38"/>
  </sheets>
  <calcPr calcId="191029"/>
  <pivotCaches>
    <pivotCache cacheId="0" r:id="rId39"/>
    <pivotCache cacheId="1" r:id="rId40"/>
    <pivotCache cacheId="2" r:id="rId41"/>
    <pivotCache cacheId="3" r:id="rId42"/>
    <pivotCache cacheId="4" r:id="rId43"/>
    <pivotCache cacheId="5" r:id="rId44"/>
    <pivotCache cacheId="6" r:id="rId45"/>
    <pivotCache cacheId="7" r:id="rId4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4" l="1"/>
  <c r="D5" i="4"/>
  <c r="E5" i="4"/>
  <c r="F5" i="4"/>
  <c r="G5" i="4"/>
  <c r="H5" i="4"/>
  <c r="C6" i="4"/>
  <c r="D6" i="4"/>
  <c r="E6" i="4"/>
  <c r="F6" i="4"/>
  <c r="G6" i="4"/>
  <c r="H6" i="4"/>
  <c r="C7" i="4"/>
  <c r="D7" i="4"/>
  <c r="E7" i="4"/>
  <c r="F7" i="4"/>
  <c r="H7" i="4" s="1"/>
  <c r="G7" i="4"/>
  <c r="C8" i="4"/>
  <c r="D8" i="4"/>
  <c r="E8" i="4"/>
  <c r="F8" i="4"/>
  <c r="G8" i="4"/>
  <c r="C9" i="4"/>
  <c r="D9" i="4"/>
  <c r="E9" i="4"/>
  <c r="F9" i="4"/>
  <c r="G9" i="4"/>
  <c r="H9" i="4"/>
  <c r="C10" i="4"/>
  <c r="D10" i="4"/>
  <c r="E10" i="4"/>
  <c r="F10" i="4"/>
  <c r="G10" i="4"/>
  <c r="C11" i="4"/>
  <c r="D11" i="4"/>
  <c r="E11" i="4"/>
  <c r="F11" i="4"/>
  <c r="G11" i="4"/>
  <c r="C12" i="4"/>
  <c r="D12" i="4"/>
  <c r="E12" i="4"/>
  <c r="F12" i="4"/>
  <c r="G12" i="4"/>
  <c r="C13" i="4"/>
  <c r="H13" i="4" s="1"/>
  <c r="D13" i="4"/>
  <c r="E13" i="4"/>
  <c r="F13" i="4"/>
  <c r="G13" i="4"/>
  <c r="C14" i="4"/>
  <c r="H14" i="4" s="1"/>
  <c r="D14" i="4"/>
  <c r="E14" i="4"/>
  <c r="F14" i="4"/>
  <c r="G14" i="4"/>
  <c r="C15" i="4"/>
  <c r="D15" i="4"/>
  <c r="E15" i="4"/>
  <c r="F15" i="4"/>
  <c r="G15" i="4"/>
  <c r="C16" i="4"/>
  <c r="D16" i="4"/>
  <c r="E16" i="4"/>
  <c r="F16" i="4"/>
  <c r="G16" i="4"/>
  <c r="C17" i="4"/>
  <c r="D17" i="4"/>
  <c r="E17" i="4"/>
  <c r="F17" i="4"/>
  <c r="G17" i="4"/>
  <c r="C18" i="4"/>
  <c r="D18" i="4"/>
  <c r="E18" i="4"/>
  <c r="F18" i="4"/>
  <c r="G18" i="4"/>
  <c r="C19" i="4"/>
  <c r="D19" i="4"/>
  <c r="E19" i="4"/>
  <c r="F19" i="4"/>
  <c r="G19" i="4"/>
  <c r="C20" i="4"/>
  <c r="D20" i="4"/>
  <c r="E20" i="4"/>
  <c r="F20" i="4"/>
  <c r="G20" i="4"/>
  <c r="C21" i="4"/>
  <c r="D21" i="4"/>
  <c r="E21" i="4"/>
  <c r="F21" i="4"/>
  <c r="G21" i="4"/>
  <c r="C22" i="4"/>
  <c r="D22" i="4"/>
  <c r="E22" i="4"/>
  <c r="F22" i="4"/>
  <c r="G22" i="4"/>
  <c r="H22" i="4"/>
  <c r="C23" i="4"/>
  <c r="D23" i="4"/>
  <c r="E23" i="4"/>
  <c r="F23" i="4"/>
  <c r="H23" i="4" s="1"/>
  <c r="G23" i="4"/>
  <c r="C24" i="4"/>
  <c r="D24" i="4"/>
  <c r="E24" i="4"/>
  <c r="F24" i="4"/>
  <c r="G24" i="4"/>
  <c r="H24" i="4"/>
  <c r="C25" i="4"/>
  <c r="D25" i="4"/>
  <c r="E25" i="4"/>
  <c r="F25" i="4"/>
  <c r="H25" i="4" s="1"/>
  <c r="G25" i="4"/>
  <c r="C26" i="4"/>
  <c r="D26" i="4"/>
  <c r="E26" i="4"/>
  <c r="F26" i="4"/>
  <c r="G26" i="4"/>
  <c r="H26" i="4"/>
  <c r="C27" i="4"/>
  <c r="D27" i="4"/>
  <c r="E27" i="4"/>
  <c r="F27" i="4"/>
  <c r="H27" i="4" s="1"/>
  <c r="G27" i="4"/>
  <c r="C28" i="4"/>
  <c r="D28" i="4"/>
  <c r="E28" i="4"/>
  <c r="F28" i="4"/>
  <c r="G28" i="4"/>
  <c r="H28" i="4"/>
  <c r="C5" i="3"/>
  <c r="D5" i="3"/>
  <c r="E5" i="3"/>
  <c r="F5" i="3"/>
  <c r="G5" i="3"/>
  <c r="H5" i="3"/>
  <c r="I5" i="3"/>
  <c r="C6" i="3"/>
  <c r="D6" i="3"/>
  <c r="E6" i="3"/>
  <c r="F6" i="3"/>
  <c r="G6" i="3"/>
  <c r="H6" i="3"/>
  <c r="I6" i="3"/>
  <c r="C7" i="3"/>
  <c r="D7" i="3"/>
  <c r="E7" i="3"/>
  <c r="F7" i="3"/>
  <c r="G7" i="3"/>
  <c r="H7" i="3"/>
  <c r="I7" i="3"/>
  <c r="C8" i="3"/>
  <c r="D8" i="3"/>
  <c r="E8" i="3"/>
  <c r="F8" i="3"/>
  <c r="G8" i="3"/>
  <c r="H8" i="3"/>
  <c r="I8" i="3"/>
  <c r="C9" i="3"/>
  <c r="D9" i="3"/>
  <c r="E9" i="3"/>
  <c r="F9" i="3"/>
  <c r="G9" i="3"/>
  <c r="H9" i="3"/>
  <c r="I9" i="3"/>
  <c r="C10" i="3"/>
  <c r="D10" i="3"/>
  <c r="E10" i="3"/>
  <c r="F10" i="3"/>
  <c r="G10" i="3"/>
  <c r="H10" i="3"/>
  <c r="I10" i="3"/>
  <c r="C11" i="3"/>
  <c r="D11" i="3"/>
  <c r="E11" i="3"/>
  <c r="F11" i="3"/>
  <c r="G11" i="3"/>
  <c r="H11" i="3"/>
  <c r="I11" i="3"/>
  <c r="C12" i="3"/>
  <c r="D12" i="3"/>
  <c r="E12" i="3"/>
  <c r="F12" i="3"/>
  <c r="G12" i="3"/>
  <c r="H12" i="3"/>
  <c r="I12" i="3"/>
  <c r="C13" i="3"/>
  <c r="D13" i="3"/>
  <c r="E13" i="3"/>
  <c r="F13" i="3"/>
  <c r="G13" i="3"/>
  <c r="H13" i="3"/>
  <c r="I13" i="3"/>
  <c r="C14" i="3"/>
  <c r="D14" i="3"/>
  <c r="E14" i="3"/>
  <c r="F14" i="3"/>
  <c r="G14" i="3"/>
  <c r="H14" i="3"/>
  <c r="I14" i="3"/>
  <c r="C15" i="3"/>
  <c r="D15" i="3"/>
  <c r="E15" i="3"/>
  <c r="F15" i="3"/>
  <c r="G15" i="3"/>
  <c r="H15" i="3"/>
  <c r="I15" i="3"/>
  <c r="C16" i="3"/>
  <c r="D16" i="3"/>
  <c r="E16" i="3"/>
  <c r="F16" i="3"/>
  <c r="G16" i="3"/>
  <c r="H16" i="3"/>
  <c r="I16" i="3"/>
  <c r="J16" i="3"/>
  <c r="C17" i="3"/>
  <c r="D17" i="3"/>
  <c r="E17" i="3"/>
  <c r="F17" i="3"/>
  <c r="G17" i="3"/>
  <c r="H17" i="3"/>
  <c r="I17" i="3"/>
  <c r="J17" i="3"/>
  <c r="C18" i="3"/>
  <c r="D18" i="3"/>
  <c r="E18" i="3"/>
  <c r="F18" i="3"/>
  <c r="G18" i="3"/>
  <c r="H18" i="3"/>
  <c r="I18" i="3"/>
  <c r="J18" i="3"/>
  <c r="C19" i="3"/>
  <c r="D19" i="3"/>
  <c r="E19" i="3"/>
  <c r="F19" i="3"/>
  <c r="G19" i="3"/>
  <c r="H19" i="3"/>
  <c r="I19" i="3"/>
  <c r="C20" i="3"/>
  <c r="D20" i="3"/>
  <c r="E20" i="3"/>
  <c r="F20" i="3"/>
  <c r="G20" i="3"/>
  <c r="H20" i="3"/>
  <c r="I20" i="3"/>
  <c r="C21" i="3"/>
  <c r="D21" i="3"/>
  <c r="E21" i="3"/>
  <c r="F21" i="3"/>
  <c r="G21" i="3"/>
  <c r="H21" i="3"/>
  <c r="I21" i="3"/>
  <c r="C22" i="3"/>
  <c r="D22" i="3"/>
  <c r="E22" i="3"/>
  <c r="F22" i="3"/>
  <c r="G22" i="3"/>
  <c r="H22" i="3"/>
  <c r="I22" i="3"/>
  <c r="C23" i="3"/>
  <c r="D23" i="3"/>
  <c r="E23" i="3"/>
  <c r="F23" i="3"/>
  <c r="G23" i="3"/>
  <c r="H23" i="3"/>
  <c r="I23" i="3"/>
  <c r="C24" i="3"/>
  <c r="D24" i="3"/>
  <c r="E24" i="3"/>
  <c r="F24" i="3"/>
  <c r="G24" i="3"/>
  <c r="H24" i="3"/>
  <c r="I24" i="3"/>
  <c r="C25" i="3"/>
  <c r="D25" i="3"/>
  <c r="E25" i="3"/>
  <c r="F25" i="3"/>
  <c r="G25" i="3"/>
  <c r="H25" i="3"/>
  <c r="I25" i="3"/>
  <c r="C26" i="3"/>
  <c r="D26" i="3"/>
  <c r="E26" i="3"/>
  <c r="F26" i="3"/>
  <c r="G26" i="3"/>
  <c r="H26" i="3"/>
  <c r="I26" i="3"/>
  <c r="C27" i="3"/>
  <c r="D27" i="3"/>
  <c r="E27" i="3"/>
  <c r="F27" i="3"/>
  <c r="G27" i="3"/>
  <c r="H27" i="3"/>
  <c r="I27" i="3"/>
  <c r="C28" i="3"/>
  <c r="D28" i="3"/>
  <c r="E28" i="3"/>
  <c r="F28" i="3"/>
  <c r="G28" i="3"/>
  <c r="H28" i="3"/>
  <c r="I28" i="3"/>
  <c r="C5" i="2"/>
  <c r="D5" i="2"/>
  <c r="E5" i="2"/>
  <c r="F5" i="2"/>
  <c r="G5" i="2"/>
  <c r="H5" i="2"/>
  <c r="I5" i="2"/>
  <c r="C6" i="2"/>
  <c r="D6" i="2"/>
  <c r="E6" i="2"/>
  <c r="J6" i="2" s="1"/>
  <c r="F6" i="2"/>
  <c r="G6" i="2"/>
  <c r="H6" i="2"/>
  <c r="I6" i="2"/>
  <c r="C7" i="2"/>
  <c r="D7" i="2"/>
  <c r="E7" i="2"/>
  <c r="F7" i="2"/>
  <c r="G7" i="2"/>
  <c r="H7" i="2"/>
  <c r="I7" i="2"/>
  <c r="J7" i="2"/>
  <c r="C8" i="2"/>
  <c r="D8" i="2"/>
  <c r="E8" i="2"/>
  <c r="F8" i="2"/>
  <c r="G8" i="2"/>
  <c r="H8" i="2"/>
  <c r="I8" i="2"/>
  <c r="C9" i="2"/>
  <c r="D9" i="2"/>
  <c r="E9" i="2"/>
  <c r="F9" i="2"/>
  <c r="G9" i="2"/>
  <c r="H9" i="2"/>
  <c r="I9" i="2"/>
  <c r="C10" i="2"/>
  <c r="D10" i="2"/>
  <c r="E10" i="2"/>
  <c r="F10" i="2"/>
  <c r="G10" i="2"/>
  <c r="H10" i="2"/>
  <c r="I10" i="2"/>
  <c r="C11" i="2"/>
  <c r="D11" i="2"/>
  <c r="E11" i="2"/>
  <c r="F11" i="2"/>
  <c r="G11" i="2"/>
  <c r="H11" i="2"/>
  <c r="I11" i="2"/>
  <c r="C12" i="2"/>
  <c r="D12" i="2"/>
  <c r="E12" i="2"/>
  <c r="F12" i="2"/>
  <c r="G12" i="2"/>
  <c r="H12" i="2"/>
  <c r="I12" i="2"/>
  <c r="J12" i="2"/>
  <c r="C13" i="2"/>
  <c r="D13" i="2"/>
  <c r="E13" i="2"/>
  <c r="F13" i="2"/>
  <c r="G13" i="2"/>
  <c r="H13" i="2"/>
  <c r="I13" i="2"/>
  <c r="C14" i="2"/>
  <c r="J14" i="2" s="1"/>
  <c r="D14" i="2"/>
  <c r="E14" i="2"/>
  <c r="F14" i="2"/>
  <c r="G14" i="2"/>
  <c r="H14" i="2"/>
  <c r="I14" i="2"/>
  <c r="C15" i="2"/>
  <c r="D15" i="2"/>
  <c r="E15" i="2"/>
  <c r="F15" i="2"/>
  <c r="G15" i="2"/>
  <c r="H15" i="2"/>
  <c r="I15" i="2"/>
  <c r="C16" i="2"/>
  <c r="D16" i="2"/>
  <c r="E16" i="2"/>
  <c r="F16" i="2"/>
  <c r="G16" i="2"/>
  <c r="H16" i="2"/>
  <c r="I16" i="2"/>
  <c r="C17" i="2"/>
  <c r="D17" i="2"/>
  <c r="E17" i="2"/>
  <c r="F17" i="2"/>
  <c r="G17" i="2"/>
  <c r="H17" i="2"/>
  <c r="I17" i="2"/>
  <c r="C18" i="2"/>
  <c r="D18" i="2"/>
  <c r="E18" i="2"/>
  <c r="F18" i="2"/>
  <c r="G18" i="2"/>
  <c r="H18" i="2"/>
  <c r="I18" i="2"/>
  <c r="C19" i="2"/>
  <c r="D19" i="2"/>
  <c r="E19" i="2"/>
  <c r="F19" i="2"/>
  <c r="G19" i="2"/>
  <c r="H19" i="2"/>
  <c r="I19" i="2"/>
  <c r="C20" i="2"/>
  <c r="D20" i="2"/>
  <c r="E20" i="2"/>
  <c r="F20" i="2"/>
  <c r="G20" i="2"/>
  <c r="H20" i="2"/>
  <c r="I20" i="2"/>
  <c r="C21" i="2"/>
  <c r="D21" i="2"/>
  <c r="E21" i="2"/>
  <c r="F21" i="2"/>
  <c r="G21" i="2"/>
  <c r="H21" i="2"/>
  <c r="I21" i="2"/>
  <c r="C22" i="2"/>
  <c r="D22" i="2"/>
  <c r="E22" i="2"/>
  <c r="F22" i="2"/>
  <c r="G22" i="2"/>
  <c r="H22" i="2"/>
  <c r="I22" i="2"/>
  <c r="C23" i="2"/>
  <c r="D23" i="2"/>
  <c r="E23" i="2"/>
  <c r="F23" i="2"/>
  <c r="G23" i="2"/>
  <c r="H23" i="2"/>
  <c r="I23" i="2"/>
  <c r="C24" i="2"/>
  <c r="D24" i="2"/>
  <c r="E24" i="2"/>
  <c r="F24" i="2"/>
  <c r="G24" i="2"/>
  <c r="H24" i="2"/>
  <c r="I24" i="2"/>
  <c r="C25" i="2"/>
  <c r="D25" i="2"/>
  <c r="E25" i="2"/>
  <c r="F25" i="2"/>
  <c r="G25" i="2"/>
  <c r="H25" i="2"/>
  <c r="I25" i="2"/>
  <c r="C26" i="2"/>
  <c r="D26" i="2"/>
  <c r="E26" i="2"/>
  <c r="F26" i="2"/>
  <c r="G26" i="2"/>
  <c r="H26" i="2"/>
  <c r="I26" i="2"/>
  <c r="C27" i="2"/>
  <c r="D27" i="2"/>
  <c r="E27" i="2"/>
  <c r="F27" i="2"/>
  <c r="G27" i="2"/>
  <c r="H27" i="2"/>
  <c r="I27" i="2"/>
  <c r="C28" i="2"/>
  <c r="D28" i="2"/>
  <c r="E28" i="2"/>
  <c r="F28" i="2"/>
  <c r="G28" i="2"/>
  <c r="H28" i="2"/>
  <c r="I28" i="2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3" i="7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D5" i="1"/>
  <c r="E5" i="1"/>
  <c r="F5" i="1"/>
  <c r="G5" i="1"/>
  <c r="H5" i="1"/>
  <c r="I5" i="1"/>
  <c r="D6" i="1"/>
  <c r="E6" i="1"/>
  <c r="F6" i="1"/>
  <c r="G6" i="1"/>
  <c r="H6" i="1"/>
  <c r="I6" i="1"/>
  <c r="D7" i="1"/>
  <c r="E7" i="1"/>
  <c r="F7" i="1"/>
  <c r="G7" i="1"/>
  <c r="H7" i="1"/>
  <c r="I7" i="1"/>
  <c r="D8" i="1"/>
  <c r="E8" i="1"/>
  <c r="F8" i="1"/>
  <c r="G8" i="1"/>
  <c r="H8" i="1"/>
  <c r="I8" i="1"/>
  <c r="D9" i="1"/>
  <c r="E9" i="1"/>
  <c r="F9" i="1"/>
  <c r="G9" i="1"/>
  <c r="H9" i="1"/>
  <c r="I9" i="1"/>
  <c r="D10" i="1"/>
  <c r="E10" i="1"/>
  <c r="F10" i="1"/>
  <c r="G10" i="1"/>
  <c r="H10" i="1"/>
  <c r="I10" i="1"/>
  <c r="D11" i="1"/>
  <c r="E11" i="1"/>
  <c r="F11" i="1"/>
  <c r="G11" i="1"/>
  <c r="H11" i="1"/>
  <c r="I11" i="1"/>
  <c r="D12" i="1"/>
  <c r="E12" i="1"/>
  <c r="F12" i="1"/>
  <c r="G12" i="1"/>
  <c r="H12" i="1"/>
  <c r="I12" i="1"/>
  <c r="D13" i="1"/>
  <c r="E13" i="1"/>
  <c r="F13" i="1"/>
  <c r="G13" i="1"/>
  <c r="H13" i="1"/>
  <c r="I13" i="1"/>
  <c r="D14" i="1"/>
  <c r="E14" i="1"/>
  <c r="F14" i="1"/>
  <c r="G14" i="1"/>
  <c r="H14" i="1"/>
  <c r="I14" i="1"/>
  <c r="D15" i="1"/>
  <c r="E15" i="1"/>
  <c r="F15" i="1"/>
  <c r="G15" i="1"/>
  <c r="H15" i="1"/>
  <c r="I15" i="1"/>
  <c r="D16" i="1"/>
  <c r="E16" i="1"/>
  <c r="F16" i="1"/>
  <c r="G16" i="1"/>
  <c r="H16" i="1"/>
  <c r="I16" i="1"/>
  <c r="D17" i="1"/>
  <c r="E17" i="1"/>
  <c r="F17" i="1"/>
  <c r="G17" i="1"/>
  <c r="H17" i="1"/>
  <c r="I17" i="1"/>
  <c r="D18" i="1"/>
  <c r="E18" i="1"/>
  <c r="F18" i="1"/>
  <c r="G18" i="1"/>
  <c r="H18" i="1"/>
  <c r="I18" i="1"/>
  <c r="D19" i="1"/>
  <c r="E19" i="1"/>
  <c r="F19" i="1"/>
  <c r="G19" i="1"/>
  <c r="H19" i="1"/>
  <c r="I19" i="1"/>
  <c r="D20" i="1"/>
  <c r="E20" i="1"/>
  <c r="F20" i="1"/>
  <c r="G20" i="1"/>
  <c r="H20" i="1"/>
  <c r="I20" i="1"/>
  <c r="D21" i="1"/>
  <c r="E21" i="1"/>
  <c r="F21" i="1"/>
  <c r="G21" i="1"/>
  <c r="H21" i="1"/>
  <c r="I21" i="1"/>
  <c r="D22" i="1"/>
  <c r="E22" i="1"/>
  <c r="F22" i="1"/>
  <c r="G22" i="1"/>
  <c r="H22" i="1"/>
  <c r="I22" i="1"/>
  <c r="D23" i="1"/>
  <c r="E23" i="1"/>
  <c r="F23" i="1"/>
  <c r="G23" i="1"/>
  <c r="H23" i="1"/>
  <c r="I23" i="1"/>
  <c r="D24" i="1"/>
  <c r="E24" i="1"/>
  <c r="F24" i="1"/>
  <c r="G24" i="1"/>
  <c r="H24" i="1"/>
  <c r="I24" i="1"/>
  <c r="D25" i="1"/>
  <c r="E25" i="1"/>
  <c r="F25" i="1"/>
  <c r="G25" i="1"/>
  <c r="H25" i="1"/>
  <c r="I25" i="1"/>
  <c r="D26" i="1"/>
  <c r="E26" i="1"/>
  <c r="F26" i="1"/>
  <c r="G26" i="1"/>
  <c r="H26" i="1"/>
  <c r="I26" i="1"/>
  <c r="D27" i="1"/>
  <c r="E27" i="1"/>
  <c r="F27" i="1"/>
  <c r="G27" i="1"/>
  <c r="H27" i="1"/>
  <c r="I27" i="1"/>
  <c r="D28" i="1"/>
  <c r="E28" i="1"/>
  <c r="F28" i="1"/>
  <c r="G28" i="1"/>
  <c r="H28" i="1"/>
  <c r="I28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J5" i="2" l="1"/>
  <c r="J26" i="3"/>
  <c r="J24" i="3"/>
  <c r="J22" i="3"/>
  <c r="J9" i="3"/>
  <c r="J7" i="3"/>
  <c r="J5" i="3"/>
  <c r="J25" i="3"/>
  <c r="J19" i="3"/>
  <c r="J14" i="3"/>
  <c r="J6" i="3"/>
  <c r="H11" i="4"/>
  <c r="H19" i="4"/>
  <c r="H17" i="4"/>
  <c r="H15" i="4"/>
  <c r="H8" i="4"/>
  <c r="H10" i="4"/>
  <c r="J28" i="3"/>
  <c r="J27" i="3"/>
  <c r="J13" i="3"/>
  <c r="J12" i="3"/>
  <c r="J8" i="3"/>
  <c r="J15" i="2"/>
  <c r="J13" i="2"/>
  <c r="J25" i="2"/>
  <c r="J22" i="2"/>
  <c r="J19" i="2"/>
  <c r="J11" i="2"/>
  <c r="J24" i="2"/>
  <c r="J9" i="2"/>
  <c r="J8" i="2"/>
  <c r="J11" i="3"/>
  <c r="H18" i="4"/>
  <c r="H16" i="4"/>
  <c r="H12" i="4"/>
  <c r="H20" i="4"/>
  <c r="H21" i="4"/>
  <c r="J23" i="3"/>
  <c r="J21" i="3"/>
  <c r="J20" i="3"/>
  <c r="J15" i="3"/>
  <c r="J10" i="3"/>
  <c r="J28" i="2"/>
  <c r="J27" i="2"/>
  <c r="J26" i="2"/>
  <c r="J23" i="2"/>
  <c r="J20" i="2"/>
  <c r="J16" i="2"/>
  <c r="J10" i="2"/>
  <c r="J21" i="2"/>
  <c r="J17" i="2"/>
  <c r="J18" i="2"/>
  <c r="B9" i="4" l="1"/>
  <c r="Q9" i="4"/>
  <c r="I9" i="4"/>
  <c r="S9" i="4"/>
  <c r="M9" i="4" s="1"/>
  <c r="T9" i="4"/>
  <c r="J9" i="4" s="1"/>
  <c r="B9" i="3"/>
  <c r="Y9" i="3"/>
  <c r="W9" i="3" s="1"/>
  <c r="Z9" i="3"/>
  <c r="B9" i="2"/>
  <c r="O9" i="2"/>
  <c r="Y9" i="2"/>
  <c r="M9" i="2" s="1"/>
  <c r="Z9" i="2"/>
  <c r="V9" i="2" s="1"/>
  <c r="J9" i="1"/>
  <c r="Y9" i="1"/>
  <c r="K9" i="1" s="1"/>
  <c r="Z9" i="1"/>
  <c r="N9" i="1" s="1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T55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V27" i="7"/>
  <c r="K27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K55" i="7"/>
  <c r="K39" i="7"/>
  <c r="T9" i="2" l="1"/>
  <c r="Q9" i="2"/>
  <c r="N9" i="4"/>
  <c r="W9" i="2"/>
  <c r="K9" i="2"/>
  <c r="W9" i="1"/>
  <c r="K9" i="4"/>
  <c r="N9" i="3"/>
  <c r="AA9" i="2"/>
  <c r="S9" i="2"/>
  <c r="K9" i="3"/>
  <c r="P9" i="4"/>
  <c r="L9" i="4"/>
  <c r="U9" i="4"/>
  <c r="O9" i="4"/>
  <c r="V9" i="4"/>
  <c r="R9" i="4"/>
  <c r="Q9" i="3"/>
  <c r="M9" i="3"/>
  <c r="AB9" i="3"/>
  <c r="X9" i="3"/>
  <c r="T9" i="3"/>
  <c r="P9" i="3"/>
  <c r="L9" i="3"/>
  <c r="U9" i="3"/>
  <c r="AA9" i="3"/>
  <c r="S9" i="3"/>
  <c r="O9" i="3"/>
  <c r="V9" i="3"/>
  <c r="R9" i="3"/>
  <c r="N9" i="2"/>
  <c r="U9" i="2"/>
  <c r="R9" i="2"/>
  <c r="X9" i="2"/>
  <c r="P9" i="2"/>
  <c r="L9" i="2"/>
  <c r="Q9" i="1"/>
  <c r="AB9" i="1"/>
  <c r="X9" i="1"/>
  <c r="T9" i="1"/>
  <c r="P9" i="1"/>
  <c r="L9" i="1"/>
  <c r="U9" i="1"/>
  <c r="M9" i="1"/>
  <c r="AA9" i="1"/>
  <c r="S9" i="1"/>
  <c r="O9" i="1"/>
  <c r="V9" i="1"/>
  <c r="R9" i="1"/>
  <c r="K26" i="7"/>
  <c r="K10" i="7"/>
  <c r="D10" i="44" s="1"/>
  <c r="K21" i="7"/>
  <c r="D21" i="44" s="1"/>
  <c r="K19" i="7"/>
  <c r="D19" i="44" s="1"/>
  <c r="E2" i="44"/>
  <c r="G2" i="44"/>
  <c r="F2" i="44"/>
  <c r="D2" i="44"/>
  <c r="B26" i="44"/>
  <c r="B19" i="44"/>
  <c r="B20" i="44"/>
  <c r="B21" i="44"/>
  <c r="B22" i="44"/>
  <c r="B23" i="44"/>
  <c r="B24" i="44"/>
  <c r="B25" i="44"/>
  <c r="B3" i="44"/>
  <c r="B4" i="44"/>
  <c r="B5" i="44"/>
  <c r="B6" i="44"/>
  <c r="B7" i="44"/>
  <c r="B8" i="44"/>
  <c r="B9" i="44"/>
  <c r="B10" i="44"/>
  <c r="B11" i="44"/>
  <c r="B12" i="44"/>
  <c r="B13" i="44"/>
  <c r="B14" i="44"/>
  <c r="B15" i="44"/>
  <c r="B16" i="44"/>
  <c r="B17" i="44"/>
  <c r="B18" i="44"/>
  <c r="C2" i="44"/>
  <c r="B2" i="44"/>
  <c r="T32" i="7"/>
  <c r="G4" i="44" s="1"/>
  <c r="T33" i="7"/>
  <c r="G5" i="44" s="1"/>
  <c r="T34" i="7"/>
  <c r="G6" i="44" s="1"/>
  <c r="T35" i="7"/>
  <c r="G7" i="44" s="1"/>
  <c r="T36" i="7"/>
  <c r="G8" i="44" s="1"/>
  <c r="T37" i="7"/>
  <c r="G9" i="44" s="1"/>
  <c r="T38" i="7"/>
  <c r="G10" i="44" s="1"/>
  <c r="T39" i="7"/>
  <c r="G11" i="44" s="1"/>
  <c r="T40" i="7"/>
  <c r="G12" i="44" s="1"/>
  <c r="T41" i="7"/>
  <c r="G13" i="44" s="1"/>
  <c r="T42" i="7"/>
  <c r="G14" i="44" s="1"/>
  <c r="T43" i="7"/>
  <c r="G15" i="44" s="1"/>
  <c r="T44" i="7"/>
  <c r="G16" i="44" s="1"/>
  <c r="T45" i="7"/>
  <c r="G17" i="44" s="1"/>
  <c r="T46" i="7"/>
  <c r="G18" i="44" s="1"/>
  <c r="T47" i="7"/>
  <c r="G19" i="44" s="1"/>
  <c r="T48" i="7"/>
  <c r="G20" i="44" s="1"/>
  <c r="T49" i="7"/>
  <c r="G21" i="44" s="1"/>
  <c r="T50" i="7"/>
  <c r="G22" i="44" s="1"/>
  <c r="T51" i="7"/>
  <c r="G23" i="44" s="1"/>
  <c r="T52" i="7"/>
  <c r="G24" i="44" s="1"/>
  <c r="T53" i="7"/>
  <c r="G25" i="44" s="1"/>
  <c r="T54" i="7"/>
  <c r="G26" i="44" s="1"/>
  <c r="T31" i="7"/>
  <c r="G3" i="44" s="1"/>
  <c r="K32" i="7"/>
  <c r="F4" i="44" s="1"/>
  <c r="K33" i="7"/>
  <c r="F5" i="44" s="1"/>
  <c r="K34" i="7"/>
  <c r="F6" i="44" s="1"/>
  <c r="K35" i="7"/>
  <c r="F7" i="44" s="1"/>
  <c r="K36" i="7"/>
  <c r="F8" i="44" s="1"/>
  <c r="K37" i="7"/>
  <c r="F9" i="44" s="1"/>
  <c r="K38" i="7"/>
  <c r="F10" i="44" s="1"/>
  <c r="F11" i="44"/>
  <c r="K40" i="7"/>
  <c r="F12" i="44" s="1"/>
  <c r="K41" i="7"/>
  <c r="F13" i="44" s="1"/>
  <c r="K42" i="7"/>
  <c r="F14" i="44" s="1"/>
  <c r="K43" i="7"/>
  <c r="F15" i="44" s="1"/>
  <c r="K44" i="7"/>
  <c r="F16" i="44" s="1"/>
  <c r="K45" i="7"/>
  <c r="F17" i="44" s="1"/>
  <c r="K46" i="7"/>
  <c r="F18" i="44" s="1"/>
  <c r="K47" i="7"/>
  <c r="F19" i="44" s="1"/>
  <c r="K48" i="7"/>
  <c r="F20" i="44" s="1"/>
  <c r="K49" i="7"/>
  <c r="F21" i="44" s="1"/>
  <c r="K50" i="7"/>
  <c r="F22" i="44" s="1"/>
  <c r="K51" i="7"/>
  <c r="F23" i="44" s="1"/>
  <c r="K52" i="7"/>
  <c r="F24" i="44" s="1"/>
  <c r="K53" i="7"/>
  <c r="F25" i="44" s="1"/>
  <c r="K54" i="7"/>
  <c r="F26" i="44" s="1"/>
  <c r="K31" i="7"/>
  <c r="F3" i="44" s="1"/>
  <c r="V4" i="7"/>
  <c r="E4" i="44" s="1"/>
  <c r="V5" i="7"/>
  <c r="E5" i="44" s="1"/>
  <c r="V6" i="7"/>
  <c r="E6" i="44" s="1"/>
  <c r="V7" i="7"/>
  <c r="E7" i="44" s="1"/>
  <c r="V8" i="7"/>
  <c r="E8" i="44" s="1"/>
  <c r="V9" i="7"/>
  <c r="E9" i="44" s="1"/>
  <c r="V10" i="7"/>
  <c r="E10" i="44" s="1"/>
  <c r="V11" i="7"/>
  <c r="E11" i="44" s="1"/>
  <c r="V12" i="7"/>
  <c r="E12" i="44" s="1"/>
  <c r="V13" i="7"/>
  <c r="E13" i="44" s="1"/>
  <c r="V14" i="7"/>
  <c r="E14" i="44" s="1"/>
  <c r="V15" i="7"/>
  <c r="E15" i="44" s="1"/>
  <c r="V16" i="7"/>
  <c r="E16" i="44" s="1"/>
  <c r="V17" i="7"/>
  <c r="E17" i="44" s="1"/>
  <c r="V18" i="7"/>
  <c r="E18" i="44" s="1"/>
  <c r="V19" i="7"/>
  <c r="E19" i="44" s="1"/>
  <c r="V20" i="7"/>
  <c r="E20" i="44" s="1"/>
  <c r="V21" i="7"/>
  <c r="E21" i="44" s="1"/>
  <c r="V22" i="7"/>
  <c r="E22" i="44" s="1"/>
  <c r="V23" i="7"/>
  <c r="E23" i="44" s="1"/>
  <c r="V24" i="7"/>
  <c r="E24" i="44" s="1"/>
  <c r="V25" i="7"/>
  <c r="E25" i="44" s="1"/>
  <c r="V26" i="7"/>
  <c r="E26" i="44" s="1"/>
  <c r="V3" i="7"/>
  <c r="E3" i="44" s="1"/>
  <c r="K3" i="7"/>
  <c r="D3" i="44" s="1"/>
  <c r="K4" i="7"/>
  <c r="D4" i="44" s="1"/>
  <c r="K5" i="7"/>
  <c r="D5" i="44" s="1"/>
  <c r="K6" i="7"/>
  <c r="D6" i="44" s="1"/>
  <c r="K7" i="7"/>
  <c r="D7" i="44" s="1"/>
  <c r="K8" i="7"/>
  <c r="D8" i="44" s="1"/>
  <c r="K9" i="7"/>
  <c r="D9" i="44" s="1"/>
  <c r="K11" i="7"/>
  <c r="D11" i="44" s="1"/>
  <c r="K12" i="7"/>
  <c r="D12" i="44" s="1"/>
  <c r="K13" i="7"/>
  <c r="D13" i="44" s="1"/>
  <c r="K14" i="7"/>
  <c r="D14" i="44" s="1"/>
  <c r="K15" i="7"/>
  <c r="D15" i="44" s="1"/>
  <c r="K16" i="7"/>
  <c r="D16" i="44" s="1"/>
  <c r="K17" i="7"/>
  <c r="D17" i="44" s="1"/>
  <c r="K18" i="7"/>
  <c r="D18" i="44" s="1"/>
  <c r="K20" i="7"/>
  <c r="D20" i="44" s="1"/>
  <c r="K22" i="7"/>
  <c r="D22" i="44" s="1"/>
  <c r="K23" i="7"/>
  <c r="D23" i="44" s="1"/>
  <c r="K24" i="7"/>
  <c r="D24" i="44" s="1"/>
  <c r="K25" i="7"/>
  <c r="D25" i="44" s="1"/>
  <c r="D26" i="44"/>
  <c r="C1" i="43"/>
  <c r="B1" i="42"/>
  <c r="D1" i="6"/>
  <c r="N32" i="7"/>
  <c r="N31" i="7"/>
  <c r="C32" i="7"/>
  <c r="C31" i="7"/>
  <c r="N4" i="7"/>
  <c r="N3" i="7"/>
  <c r="C4" i="44"/>
  <c r="C5" i="44"/>
  <c r="C6" i="44"/>
  <c r="C7" i="44"/>
  <c r="C8" i="44"/>
  <c r="C9" i="44"/>
  <c r="C10" i="44"/>
  <c r="C11" i="44"/>
  <c r="C12" i="44"/>
  <c r="C13" i="44"/>
  <c r="C14" i="44"/>
  <c r="C15" i="44"/>
  <c r="C16" i="44"/>
  <c r="C17" i="44"/>
  <c r="C18" i="44"/>
  <c r="C19" i="44"/>
  <c r="C20" i="44"/>
  <c r="C21" i="44"/>
  <c r="C22" i="44"/>
  <c r="C23" i="44"/>
  <c r="C24" i="44"/>
  <c r="C25" i="44"/>
  <c r="C26" i="44"/>
  <c r="C3" i="44"/>
  <c r="B5" i="4"/>
  <c r="B6" i="4"/>
  <c r="B7" i="4"/>
  <c r="B8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4" i="4"/>
  <c r="B5" i="3"/>
  <c r="B6" i="3"/>
  <c r="B7" i="3"/>
  <c r="B8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4" i="3"/>
  <c r="B5" i="2"/>
  <c r="B6" i="2"/>
  <c r="B7" i="2"/>
  <c r="B8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4" i="2"/>
  <c r="B4" i="1"/>
  <c r="L13" i="5"/>
  <c r="C1" i="4"/>
  <c r="C1" i="3"/>
  <c r="C1" i="2"/>
  <c r="C1" i="1"/>
  <c r="Q29" i="7"/>
  <c r="Q1" i="7"/>
  <c r="F29" i="7"/>
  <c r="F1" i="7"/>
  <c r="I4" i="2"/>
  <c r="G4" i="4"/>
  <c r="F4" i="4"/>
  <c r="E4" i="4"/>
  <c r="D4" i="4"/>
  <c r="C4" i="4"/>
  <c r="I4" i="3"/>
  <c r="H4" i="3"/>
  <c r="G4" i="3"/>
  <c r="F4" i="3"/>
  <c r="E4" i="3"/>
  <c r="D4" i="3"/>
  <c r="C4" i="3"/>
  <c r="H4" i="2"/>
  <c r="G4" i="2"/>
  <c r="D4" i="2"/>
  <c r="F4" i="2"/>
  <c r="E4" i="2"/>
  <c r="C4" i="2"/>
  <c r="I4" i="1"/>
  <c r="H4" i="1"/>
  <c r="G4" i="1"/>
  <c r="F4" i="1"/>
  <c r="E4" i="1"/>
  <c r="D4" i="1"/>
  <c r="C4" i="1"/>
  <c r="T28" i="4"/>
  <c r="R28" i="4" s="1"/>
  <c r="S28" i="4"/>
  <c r="T27" i="4"/>
  <c r="S27" i="4"/>
  <c r="T26" i="4"/>
  <c r="S26" i="4"/>
  <c r="T25" i="4"/>
  <c r="S25" i="4"/>
  <c r="T24" i="4"/>
  <c r="S24" i="4"/>
  <c r="T23" i="4"/>
  <c r="S23" i="4"/>
  <c r="T22" i="4"/>
  <c r="S22" i="4"/>
  <c r="T21" i="4"/>
  <c r="S21" i="4"/>
  <c r="T20" i="4"/>
  <c r="S20" i="4"/>
  <c r="T19" i="4"/>
  <c r="S19" i="4"/>
  <c r="T18" i="4"/>
  <c r="S18" i="4"/>
  <c r="T17" i="4"/>
  <c r="S17" i="4"/>
  <c r="T16" i="4"/>
  <c r="S16" i="4"/>
  <c r="T15" i="4"/>
  <c r="S15" i="4"/>
  <c r="T14" i="4"/>
  <c r="S14" i="4"/>
  <c r="T13" i="4"/>
  <c r="S13" i="4"/>
  <c r="K13" i="4" s="1"/>
  <c r="T12" i="4"/>
  <c r="S12" i="4"/>
  <c r="T11" i="4"/>
  <c r="S11" i="4"/>
  <c r="T10" i="4"/>
  <c r="S10" i="4"/>
  <c r="T8" i="4"/>
  <c r="S8" i="4"/>
  <c r="T7" i="4"/>
  <c r="S7" i="4"/>
  <c r="T6" i="4"/>
  <c r="S6" i="4"/>
  <c r="T5" i="4"/>
  <c r="S5" i="4"/>
  <c r="T4" i="4"/>
  <c r="S4" i="4"/>
  <c r="Z28" i="3"/>
  <c r="Y28" i="3"/>
  <c r="Z27" i="3"/>
  <c r="Y27" i="3"/>
  <c r="Z26" i="3"/>
  <c r="Y26" i="3"/>
  <c r="Z25" i="3"/>
  <c r="Y25" i="3"/>
  <c r="Z24" i="3"/>
  <c r="Y24" i="3"/>
  <c r="Z23" i="3"/>
  <c r="Y23" i="3"/>
  <c r="Z22" i="3"/>
  <c r="Y22" i="3"/>
  <c r="Z21" i="3"/>
  <c r="Y21" i="3"/>
  <c r="Z20" i="3"/>
  <c r="Y20" i="3"/>
  <c r="Z19" i="3"/>
  <c r="P19" i="3" s="1"/>
  <c r="Y19" i="3"/>
  <c r="Z18" i="3"/>
  <c r="R18" i="3" s="1"/>
  <c r="Y18" i="3"/>
  <c r="Z17" i="3"/>
  <c r="Y17" i="3"/>
  <c r="Z16" i="3"/>
  <c r="Y16" i="3"/>
  <c r="Z15" i="3"/>
  <c r="Y15" i="3"/>
  <c r="O15" i="3" s="1"/>
  <c r="Z14" i="3"/>
  <c r="Y14" i="3"/>
  <c r="Z13" i="3"/>
  <c r="Y13" i="3"/>
  <c r="Z12" i="3"/>
  <c r="X12" i="3" s="1"/>
  <c r="Y12" i="3"/>
  <c r="Z11" i="3"/>
  <c r="Y11" i="3"/>
  <c r="Z10" i="3"/>
  <c r="Y10" i="3"/>
  <c r="Z8" i="3"/>
  <c r="Y8" i="3"/>
  <c r="S8" i="3" s="1"/>
  <c r="Z7" i="3"/>
  <c r="Y7" i="3"/>
  <c r="Z6" i="3"/>
  <c r="Y6" i="3"/>
  <c r="Z5" i="3"/>
  <c r="Y5" i="3"/>
  <c r="Z4" i="3"/>
  <c r="Y4" i="3"/>
  <c r="Z28" i="2"/>
  <c r="Y28" i="2"/>
  <c r="O28" i="2" s="1"/>
  <c r="Z27" i="2"/>
  <c r="Y27" i="2"/>
  <c r="Q27" i="2" s="1"/>
  <c r="Z26" i="2"/>
  <c r="V26" i="2" s="1"/>
  <c r="Y26" i="2"/>
  <c r="U26" i="2" s="1"/>
  <c r="Z25" i="2"/>
  <c r="Y25" i="2"/>
  <c r="Z24" i="2"/>
  <c r="Y24" i="2"/>
  <c r="S24" i="2" s="1"/>
  <c r="Z23" i="2"/>
  <c r="Y23" i="2"/>
  <c r="Z22" i="2"/>
  <c r="Y22" i="2"/>
  <c r="Z21" i="2"/>
  <c r="Y21" i="2"/>
  <c r="Z20" i="2"/>
  <c r="Y20" i="2"/>
  <c r="Z19" i="2"/>
  <c r="Y19" i="2"/>
  <c r="M19" i="2" s="1"/>
  <c r="Z18" i="2"/>
  <c r="Y18" i="2"/>
  <c r="Z17" i="2"/>
  <c r="Y17" i="2"/>
  <c r="M17" i="2" s="1"/>
  <c r="Z16" i="2"/>
  <c r="Y16" i="2"/>
  <c r="O16" i="2" s="1"/>
  <c r="Z15" i="2"/>
  <c r="Y15" i="2"/>
  <c r="Z14" i="2"/>
  <c r="Y14" i="2"/>
  <c r="O14" i="2" s="1"/>
  <c r="Z13" i="2"/>
  <c r="T13" i="2" s="1"/>
  <c r="Y13" i="2"/>
  <c r="Z12" i="2"/>
  <c r="Y12" i="2"/>
  <c r="K12" i="2" s="1"/>
  <c r="Z11" i="2"/>
  <c r="Y11" i="2"/>
  <c r="Z10" i="2"/>
  <c r="V10" i="2" s="1"/>
  <c r="Y10" i="2"/>
  <c r="Z8" i="2"/>
  <c r="Y8" i="2"/>
  <c r="Q8" i="2" s="1"/>
  <c r="Z7" i="2"/>
  <c r="Y7" i="2"/>
  <c r="U7" i="2" s="1"/>
  <c r="Z6" i="2"/>
  <c r="Y6" i="2"/>
  <c r="Q6" i="2" s="1"/>
  <c r="Z5" i="2"/>
  <c r="L5" i="2" s="1"/>
  <c r="Y5" i="2"/>
  <c r="Z4" i="2"/>
  <c r="Y4" i="2"/>
  <c r="W4" i="2" s="1"/>
  <c r="G13" i="5"/>
  <c r="N23" i="4"/>
  <c r="P4" i="3"/>
  <c r="Q26" i="4"/>
  <c r="K24" i="2"/>
  <c r="Z5" i="1"/>
  <c r="Z6" i="1"/>
  <c r="Z7" i="1"/>
  <c r="Z8" i="1"/>
  <c r="X8" i="1" s="1"/>
  <c r="Z10" i="1"/>
  <c r="Z11" i="1"/>
  <c r="Z12" i="1"/>
  <c r="R12" i="1" s="1"/>
  <c r="Z13" i="1"/>
  <c r="X13" i="1" s="1"/>
  <c r="Z14" i="1"/>
  <c r="R14" i="1" s="1"/>
  <c r="Z15" i="1"/>
  <c r="Z16" i="1"/>
  <c r="Z17" i="1"/>
  <c r="Z18" i="1"/>
  <c r="Z19" i="1"/>
  <c r="Z20" i="1"/>
  <c r="Z21" i="1"/>
  <c r="Z22" i="1"/>
  <c r="R22" i="1" s="1"/>
  <c r="Z23" i="1"/>
  <c r="Z24" i="1"/>
  <c r="Z25" i="1"/>
  <c r="Z26" i="1"/>
  <c r="Z27" i="1"/>
  <c r="Z28" i="1"/>
  <c r="R28" i="1" s="1"/>
  <c r="Z4" i="1"/>
  <c r="Y5" i="1"/>
  <c r="Y6" i="1"/>
  <c r="Y7" i="1"/>
  <c r="Y8" i="1"/>
  <c r="Y10" i="1"/>
  <c r="Y11" i="1"/>
  <c r="Y12" i="1"/>
  <c r="Y13" i="1"/>
  <c r="Y14" i="1"/>
  <c r="Y15" i="1"/>
  <c r="Y16" i="1"/>
  <c r="Y17" i="1"/>
  <c r="Y18" i="1"/>
  <c r="Q18" i="1" s="1"/>
  <c r="Y19" i="1"/>
  <c r="Y20" i="1"/>
  <c r="Y21" i="1"/>
  <c r="K21" i="1" s="1"/>
  <c r="Y22" i="1"/>
  <c r="Y23" i="1"/>
  <c r="Y24" i="1"/>
  <c r="Y25" i="1"/>
  <c r="Y26" i="1"/>
  <c r="Y27" i="1"/>
  <c r="Y28" i="1"/>
  <c r="Y4" i="1"/>
  <c r="W9" i="4" l="1"/>
  <c r="AB9" i="2"/>
  <c r="AC9" i="2" s="1"/>
  <c r="AC9" i="1"/>
  <c r="AC9" i="3"/>
  <c r="M5" i="3"/>
  <c r="Q24" i="3"/>
  <c r="V17" i="3"/>
  <c r="W24" i="3"/>
  <c r="K27" i="1"/>
  <c r="S19" i="1"/>
  <c r="L19" i="1"/>
  <c r="L6" i="1"/>
  <c r="K8" i="1"/>
  <c r="Q14" i="1"/>
  <c r="K13" i="1"/>
  <c r="U24" i="1"/>
  <c r="V24" i="1"/>
  <c r="N20" i="1"/>
  <c r="V16" i="1"/>
  <c r="V7" i="1"/>
  <c r="T25" i="1"/>
  <c r="O15" i="1"/>
  <c r="P27" i="1"/>
  <c r="N22" i="3"/>
  <c r="R28" i="3"/>
  <c r="N5" i="3"/>
  <c r="O25" i="3"/>
  <c r="T27" i="3"/>
  <c r="L14" i="2"/>
  <c r="J11" i="4"/>
  <c r="R16" i="2"/>
  <c r="O7" i="2"/>
  <c r="W6" i="2"/>
  <c r="M11" i="4"/>
  <c r="R21" i="4"/>
  <c r="R26" i="2"/>
  <c r="J13" i="4"/>
  <c r="L20" i="4"/>
  <c r="K11" i="4"/>
  <c r="N18" i="4"/>
  <c r="Q11" i="4"/>
  <c r="N19" i="2"/>
  <c r="M6" i="2"/>
  <c r="P26" i="2"/>
  <c r="T16" i="2"/>
  <c r="R25" i="4"/>
  <c r="J8" i="4"/>
  <c r="P5" i="2"/>
  <c r="P24" i="2"/>
  <c r="L4" i="2"/>
  <c r="K16" i="2"/>
  <c r="I15" i="4"/>
  <c r="S8" i="2"/>
  <c r="X4" i="2"/>
  <c r="O5" i="2"/>
  <c r="X6" i="2"/>
  <c r="P7" i="2"/>
  <c r="W11" i="2"/>
  <c r="M15" i="2"/>
  <c r="P18" i="2"/>
  <c r="V22" i="2"/>
  <c r="T24" i="2"/>
  <c r="R25" i="2"/>
  <c r="AA16" i="2"/>
  <c r="M8" i="4"/>
  <c r="Q12" i="4"/>
  <c r="U14" i="3"/>
  <c r="N6" i="2"/>
  <c r="P14" i="2"/>
  <c r="S7" i="2"/>
  <c r="I25" i="4"/>
  <c r="O23" i="4"/>
  <c r="K5" i="2"/>
  <c r="I11" i="4"/>
  <c r="I13" i="4"/>
  <c r="M14" i="3"/>
  <c r="N20" i="3"/>
  <c r="M28" i="1"/>
  <c r="N28" i="1"/>
  <c r="V4" i="1"/>
  <c r="N15" i="1"/>
  <c r="P7" i="1"/>
  <c r="Q25" i="1"/>
  <c r="Q23" i="1"/>
  <c r="Q19" i="1"/>
  <c r="R17" i="1"/>
  <c r="Q13" i="1"/>
  <c r="V25" i="1"/>
  <c r="V21" i="1"/>
  <c r="U19" i="1"/>
  <c r="U17" i="1"/>
  <c r="U13" i="1"/>
  <c r="U11" i="1"/>
  <c r="X12" i="1"/>
  <c r="P4" i="2"/>
  <c r="N4" i="2"/>
  <c r="V4" i="2"/>
  <c r="K27" i="2"/>
  <c r="L25" i="2"/>
  <c r="L23" i="2"/>
  <c r="L21" i="2"/>
  <c r="K19" i="2"/>
  <c r="L17" i="2"/>
  <c r="K15" i="2"/>
  <c r="K13" i="2"/>
  <c r="L11" i="2"/>
  <c r="L8" i="2"/>
  <c r="M28" i="2"/>
  <c r="N26" i="2"/>
  <c r="N24" i="2"/>
  <c r="M22" i="2"/>
  <c r="M20" i="2"/>
  <c r="M18" i="2"/>
  <c r="N14" i="2"/>
  <c r="N12" i="2"/>
  <c r="N10" i="2"/>
  <c r="P25" i="2"/>
  <c r="O23" i="2"/>
  <c r="O21" i="2"/>
  <c r="O19" i="2"/>
  <c r="O15" i="2"/>
  <c r="O13" i="2"/>
  <c r="O11" i="2"/>
  <c r="P8" i="2"/>
  <c r="R28" i="2"/>
  <c r="R24" i="2"/>
  <c r="R22" i="2"/>
  <c r="R20" i="2"/>
  <c r="Q18" i="2"/>
  <c r="R14" i="2"/>
  <c r="R12" i="2"/>
  <c r="Q10" i="2"/>
  <c r="R7" i="2"/>
  <c r="Q5" i="2"/>
  <c r="T23" i="2"/>
  <c r="T21" i="2"/>
  <c r="S19" i="2"/>
  <c r="T17" i="2"/>
  <c r="S12" i="2"/>
  <c r="S10" i="2"/>
  <c r="T7" i="2"/>
  <c r="U27" i="2"/>
  <c r="U23" i="2"/>
  <c r="U21" i="2"/>
  <c r="U19" i="2"/>
  <c r="V17" i="2"/>
  <c r="U13" i="2"/>
  <c r="V11" i="2"/>
  <c r="V8" i="2"/>
  <c r="U6" i="2"/>
  <c r="W28" i="2"/>
  <c r="W24" i="2"/>
  <c r="X22" i="2"/>
  <c r="W20" i="2"/>
  <c r="W12" i="2"/>
  <c r="W10" i="2"/>
  <c r="X7" i="2"/>
  <c r="W5" i="2"/>
  <c r="M4" i="3"/>
  <c r="Q4" i="3"/>
  <c r="V4" i="3"/>
  <c r="L28" i="3"/>
  <c r="L16" i="3"/>
  <c r="L14" i="3"/>
  <c r="R18" i="2"/>
  <c r="N25" i="2"/>
  <c r="V18" i="2"/>
  <c r="M27" i="2"/>
  <c r="K19" i="1"/>
  <c r="L12" i="3"/>
  <c r="L7" i="3"/>
  <c r="K5" i="3"/>
  <c r="M27" i="3"/>
  <c r="M25" i="3"/>
  <c r="N23" i="3"/>
  <c r="M19" i="3"/>
  <c r="N17" i="3"/>
  <c r="N15" i="3"/>
  <c r="N13" i="3"/>
  <c r="M6" i="3"/>
  <c r="O28" i="3"/>
  <c r="O26" i="3"/>
  <c r="O24" i="3"/>
  <c r="O14" i="3"/>
  <c r="O12" i="3"/>
  <c r="P10" i="3"/>
  <c r="P7" i="3"/>
  <c r="P5" i="3"/>
  <c r="Q27" i="3"/>
  <c r="R17" i="3"/>
  <c r="Q15" i="3"/>
  <c r="Q13" i="3"/>
  <c r="R11" i="3"/>
  <c r="R8" i="3"/>
  <c r="Q6" i="3"/>
  <c r="S26" i="3"/>
  <c r="T16" i="3"/>
  <c r="T14" i="3"/>
  <c r="T7" i="3"/>
  <c r="S5" i="3"/>
  <c r="U25" i="3"/>
  <c r="V23" i="3"/>
  <c r="V14" i="3"/>
  <c r="U12" i="3"/>
  <c r="V10" i="3"/>
  <c r="V5" i="3"/>
  <c r="W27" i="3"/>
  <c r="X23" i="3"/>
  <c r="W19" i="3"/>
  <c r="X15" i="3"/>
  <c r="W13" i="3"/>
  <c r="X11" i="3"/>
  <c r="X6" i="3"/>
  <c r="I4" i="4"/>
  <c r="M4" i="4"/>
  <c r="Q4" i="4"/>
  <c r="J27" i="4"/>
  <c r="J25" i="4"/>
  <c r="J23" i="4"/>
  <c r="J15" i="4"/>
  <c r="J6" i="4"/>
  <c r="L26" i="4"/>
  <c r="K24" i="4"/>
  <c r="L22" i="4"/>
  <c r="K20" i="4"/>
  <c r="K16" i="4"/>
  <c r="L11" i="4"/>
  <c r="L8" i="4"/>
  <c r="M28" i="4"/>
  <c r="N26" i="4"/>
  <c r="N24" i="4"/>
  <c r="M22" i="4"/>
  <c r="M20" i="4"/>
  <c r="M16" i="4"/>
  <c r="M14" i="4"/>
  <c r="N10" i="4"/>
  <c r="N7" i="4"/>
  <c r="N5" i="4"/>
  <c r="P27" i="4"/>
  <c r="O25" i="4"/>
  <c r="P23" i="4"/>
  <c r="O21" i="4"/>
  <c r="P19" i="4"/>
  <c r="O15" i="4"/>
  <c r="O13" i="4"/>
  <c r="P11" i="4"/>
  <c r="P8" i="4"/>
  <c r="Q28" i="4"/>
  <c r="R26" i="4"/>
  <c r="Q24" i="4"/>
  <c r="R22" i="4"/>
  <c r="R15" i="4"/>
  <c r="R11" i="4"/>
  <c r="R8" i="4"/>
  <c r="S19" i="3"/>
  <c r="X27" i="3"/>
  <c r="P14" i="3"/>
  <c r="U4" i="3"/>
  <c r="K12" i="3"/>
  <c r="M17" i="3"/>
  <c r="P24" i="3"/>
  <c r="W17" i="2"/>
  <c r="Q17" i="2"/>
  <c r="K22" i="1"/>
  <c r="K10" i="1"/>
  <c r="N11" i="1"/>
  <c r="P24" i="1"/>
  <c r="O22" i="1"/>
  <c r="P20" i="1"/>
  <c r="O16" i="1"/>
  <c r="P14" i="1"/>
  <c r="O12" i="1"/>
  <c r="T26" i="1"/>
  <c r="S22" i="1"/>
  <c r="S20" i="1"/>
  <c r="T18" i="1"/>
  <c r="S16" i="1"/>
  <c r="S12" i="1"/>
  <c r="X28" i="1"/>
  <c r="W24" i="1"/>
  <c r="W22" i="1"/>
  <c r="W20" i="1"/>
  <c r="X18" i="1"/>
  <c r="X16" i="1"/>
  <c r="W10" i="1"/>
  <c r="W7" i="1"/>
  <c r="W5" i="1"/>
  <c r="L6" i="2"/>
  <c r="N7" i="2"/>
  <c r="M7" i="2"/>
  <c r="N5" i="2"/>
  <c r="P27" i="2"/>
  <c r="O17" i="2"/>
  <c r="P6" i="2"/>
  <c r="Q26" i="2"/>
  <c r="Q16" i="2"/>
  <c r="T27" i="2"/>
  <c r="S25" i="2"/>
  <c r="T25" i="2"/>
  <c r="S14" i="2"/>
  <c r="T5" i="2"/>
  <c r="V25" i="2"/>
  <c r="U25" i="2"/>
  <c r="V15" i="2"/>
  <c r="W26" i="2"/>
  <c r="X18" i="2"/>
  <c r="W16" i="2"/>
  <c r="X14" i="2"/>
  <c r="W14" i="2"/>
  <c r="L26" i="3"/>
  <c r="L24" i="3"/>
  <c r="K22" i="3"/>
  <c r="AB22" i="3"/>
  <c r="L20" i="3"/>
  <c r="L18" i="3"/>
  <c r="K10" i="3"/>
  <c r="N21" i="3"/>
  <c r="M11" i="3"/>
  <c r="M8" i="3"/>
  <c r="O22" i="3"/>
  <c r="P22" i="3"/>
  <c r="P20" i="3"/>
  <c r="P18" i="3"/>
  <c r="O16" i="3"/>
  <c r="R25" i="3"/>
  <c r="Q23" i="3"/>
  <c r="R21" i="3"/>
  <c r="R19" i="3"/>
  <c r="S28" i="3"/>
  <c r="T28" i="3"/>
  <c r="T24" i="3"/>
  <c r="S22" i="3"/>
  <c r="T20" i="3"/>
  <c r="T18" i="3"/>
  <c r="S12" i="3"/>
  <c r="T12" i="3"/>
  <c r="S10" i="3"/>
  <c r="V27" i="3"/>
  <c r="V25" i="3"/>
  <c r="V20" i="3"/>
  <c r="V18" i="3"/>
  <c r="U16" i="3"/>
  <c r="V16" i="3"/>
  <c r="V7" i="3"/>
  <c r="U7" i="3"/>
  <c r="X25" i="3"/>
  <c r="X21" i="3"/>
  <c r="W17" i="3"/>
  <c r="W8" i="3"/>
  <c r="J21" i="4"/>
  <c r="I21" i="4"/>
  <c r="I19" i="4"/>
  <c r="I17" i="4"/>
  <c r="I8" i="4"/>
  <c r="K28" i="4"/>
  <c r="L28" i="4"/>
  <c r="K18" i="4"/>
  <c r="L13" i="4"/>
  <c r="K6" i="4"/>
  <c r="M18" i="4"/>
  <c r="M12" i="4"/>
  <c r="O17" i="4"/>
  <c r="O6" i="4"/>
  <c r="R20" i="4"/>
  <c r="Q17" i="4"/>
  <c r="R17" i="4"/>
  <c r="R13" i="4"/>
  <c r="Q6" i="4"/>
  <c r="R6" i="4"/>
  <c r="T15" i="2"/>
  <c r="V21" i="3"/>
  <c r="L14" i="4"/>
  <c r="K14" i="4"/>
  <c r="S5" i="2"/>
  <c r="Q24" i="2"/>
  <c r="O25" i="2"/>
  <c r="K28" i="3"/>
  <c r="N22" i="4"/>
  <c r="K18" i="3"/>
  <c r="R4" i="3"/>
  <c r="U8" i="2"/>
  <c r="K26" i="2"/>
  <c r="K14" i="3"/>
  <c r="L24" i="4"/>
  <c r="U17" i="2"/>
  <c r="W22" i="2"/>
  <c r="N4" i="4"/>
  <c r="J17" i="4"/>
  <c r="R24" i="4"/>
  <c r="O4" i="1"/>
  <c r="X4" i="1"/>
  <c r="L27" i="1"/>
  <c r="L25" i="1"/>
  <c r="K23" i="1"/>
  <c r="L15" i="1"/>
  <c r="L13" i="1"/>
  <c r="K11" i="1"/>
  <c r="L8" i="1"/>
  <c r="K6" i="1"/>
  <c r="M24" i="1"/>
  <c r="M20" i="1"/>
  <c r="M16" i="1"/>
  <c r="N10" i="1"/>
  <c r="M7" i="1"/>
  <c r="O27" i="1"/>
  <c r="P23" i="1"/>
  <c r="O21" i="1"/>
  <c r="O19" i="1"/>
  <c r="O17" i="1"/>
  <c r="P15" i="1"/>
  <c r="P11" i="1"/>
  <c r="P6" i="1"/>
  <c r="Q28" i="1"/>
  <c r="Q26" i="1"/>
  <c r="Q22" i="1"/>
  <c r="R18" i="1"/>
  <c r="R16" i="1"/>
  <c r="Q12" i="1"/>
  <c r="Q10" i="1"/>
  <c r="R5" i="1"/>
  <c r="T27" i="1"/>
  <c r="S25" i="1"/>
  <c r="S23" i="1"/>
  <c r="T19" i="1"/>
  <c r="T15" i="1"/>
  <c r="S13" i="1"/>
  <c r="T11" i="1"/>
  <c r="T8" i="1"/>
  <c r="T6" i="1"/>
  <c r="V28" i="1"/>
  <c r="U20" i="1"/>
  <c r="U16" i="1"/>
  <c r="V14" i="1"/>
  <c r="U12" i="1"/>
  <c r="V10" i="1"/>
  <c r="U7" i="1"/>
  <c r="X25" i="1"/>
  <c r="W23" i="1"/>
  <c r="X21" i="1"/>
  <c r="W19" i="1"/>
  <c r="W17" i="1"/>
  <c r="W13" i="1"/>
  <c r="W11" i="1"/>
  <c r="W8" i="1"/>
  <c r="X6" i="1"/>
  <c r="K4" i="2"/>
  <c r="R4" i="2"/>
  <c r="T4" i="2"/>
  <c r="L28" i="2"/>
  <c r="L24" i="2"/>
  <c r="L22" i="2"/>
  <c r="L20" i="2"/>
  <c r="K18" i="2"/>
  <c r="L16" i="2"/>
  <c r="L12" i="2"/>
  <c r="K10" i="2"/>
  <c r="N23" i="2"/>
  <c r="N21" i="2"/>
  <c r="N17" i="2"/>
  <c r="N15" i="2"/>
  <c r="M13" i="2"/>
  <c r="M11" i="2"/>
  <c r="M8" i="2"/>
  <c r="P28" i="2"/>
  <c r="O26" i="2"/>
  <c r="O24" i="2"/>
  <c r="O22" i="2"/>
  <c r="P20" i="2"/>
  <c r="O18" i="2"/>
  <c r="P16" i="2"/>
  <c r="P12" i="2"/>
  <c r="O10" i="2"/>
  <c r="R27" i="2"/>
  <c r="Q25" i="2"/>
  <c r="R23" i="2"/>
  <c r="R21" i="2"/>
  <c r="Q19" i="2"/>
  <c r="R17" i="2"/>
  <c r="R15" i="2"/>
  <c r="R13" i="2"/>
  <c r="R11" i="2"/>
  <c r="R8" i="2"/>
  <c r="R6" i="2"/>
  <c r="S28" i="2"/>
  <c r="S26" i="2"/>
  <c r="S22" i="2"/>
  <c r="T20" i="2"/>
  <c r="S18" i="2"/>
  <c r="S16" i="2"/>
  <c r="S13" i="2"/>
  <c r="S11" i="2"/>
  <c r="T8" i="2"/>
  <c r="T6" i="2"/>
  <c r="V28" i="2"/>
  <c r="V24" i="2"/>
  <c r="U22" i="2"/>
  <c r="V20" i="2"/>
  <c r="U18" i="2"/>
  <c r="V16" i="2"/>
  <c r="V14" i="2"/>
  <c r="V12" i="2"/>
  <c r="U10" i="2"/>
  <c r="V7" i="2"/>
  <c r="U5" i="2"/>
  <c r="W27" i="2"/>
  <c r="W25" i="2"/>
  <c r="X23" i="2"/>
  <c r="W21" i="2"/>
  <c r="X19" i="2"/>
  <c r="X17" i="2"/>
  <c r="X15" i="2"/>
  <c r="W13" i="2"/>
  <c r="X11" i="2"/>
  <c r="W8" i="2"/>
  <c r="O4" i="3"/>
  <c r="S4" i="3"/>
  <c r="W4" i="3"/>
  <c r="K27" i="3"/>
  <c r="K25" i="3"/>
  <c r="K23" i="3"/>
  <c r="L21" i="3"/>
  <c r="K19" i="3"/>
  <c r="L15" i="3"/>
  <c r="K13" i="3"/>
  <c r="L11" i="3"/>
  <c r="L8" i="3"/>
  <c r="M22" i="3"/>
  <c r="M12" i="3"/>
  <c r="N10" i="3"/>
  <c r="M7" i="3"/>
  <c r="O27" i="3"/>
  <c r="P25" i="3"/>
  <c r="O23" i="3"/>
  <c r="O19" i="3"/>
  <c r="O17" i="3"/>
  <c r="P15" i="3"/>
  <c r="P13" i="3"/>
  <c r="P11" i="3"/>
  <c r="P8" i="3"/>
  <c r="P6" i="3"/>
  <c r="Q28" i="3"/>
  <c r="Q26" i="3"/>
  <c r="R24" i="3"/>
  <c r="Q22" i="3"/>
  <c r="Q20" i="3"/>
  <c r="Q18" i="3"/>
  <c r="R16" i="3"/>
  <c r="R14" i="3"/>
  <c r="Q12" i="3"/>
  <c r="R10" i="3"/>
  <c r="Q7" i="3"/>
  <c r="R5" i="3"/>
  <c r="S27" i="3"/>
  <c r="T25" i="3"/>
  <c r="T23" i="3"/>
  <c r="T21" i="3"/>
  <c r="T19" i="3"/>
  <c r="T17" i="3"/>
  <c r="S15" i="3"/>
  <c r="T13" i="3"/>
  <c r="S11" i="3"/>
  <c r="T8" i="3"/>
  <c r="U28" i="3"/>
  <c r="U26" i="3"/>
  <c r="U22" i="3"/>
  <c r="V19" i="3"/>
  <c r="U17" i="3"/>
  <c r="V15" i="3"/>
  <c r="U13" i="3"/>
  <c r="U8" i="3"/>
  <c r="W28" i="3"/>
  <c r="X26" i="3"/>
  <c r="X24" i="3"/>
  <c r="W22" i="3"/>
  <c r="X20" i="3"/>
  <c r="X18" i="3"/>
  <c r="X16" i="3"/>
  <c r="X14" i="3"/>
  <c r="W12" i="3"/>
  <c r="X10" i="3"/>
  <c r="W7" i="3"/>
  <c r="X5" i="3"/>
  <c r="P4" i="4"/>
  <c r="I28" i="4"/>
  <c r="I26" i="4"/>
  <c r="J22" i="4"/>
  <c r="J18" i="4"/>
  <c r="J16" i="4"/>
  <c r="J10" i="4"/>
  <c r="J5" i="4"/>
  <c r="L21" i="4"/>
  <c r="K17" i="4"/>
  <c r="K15" i="4"/>
  <c r="K12" i="4"/>
  <c r="L10" i="4"/>
  <c r="L7" i="4"/>
  <c r="N27" i="4"/>
  <c r="N25" i="4"/>
  <c r="M23" i="4"/>
  <c r="M19" i="4"/>
  <c r="N17" i="4"/>
  <c r="N15" i="4"/>
  <c r="N13" i="4"/>
  <c r="P28" i="4"/>
  <c r="P26" i="4"/>
  <c r="P22" i="4"/>
  <c r="P20" i="4"/>
  <c r="O18" i="4"/>
  <c r="O12" i="4"/>
  <c r="O7" i="4"/>
  <c r="O5" i="4"/>
  <c r="R27" i="4"/>
  <c r="Q25" i="4"/>
  <c r="R23" i="4"/>
  <c r="Q21" i="4"/>
  <c r="R19" i="4"/>
  <c r="R16" i="4"/>
  <c r="R14" i="4"/>
  <c r="R12" i="4"/>
  <c r="Q10" i="4"/>
  <c r="R7" i="4"/>
  <c r="Q5" i="4"/>
  <c r="R18" i="4"/>
  <c r="O20" i="4"/>
  <c r="W23" i="2"/>
  <c r="N6" i="3"/>
  <c r="O5" i="3"/>
  <c r="L11" i="1"/>
  <c r="M5" i="4"/>
  <c r="I6" i="4"/>
  <c r="K26" i="4"/>
  <c r="I23" i="4"/>
  <c r="P25" i="4"/>
  <c r="L18" i="4"/>
  <c r="O8" i="4"/>
  <c r="Q22" i="4"/>
  <c r="N14" i="4"/>
  <c r="Q8" i="4"/>
  <c r="L16" i="4"/>
  <c r="L6" i="4"/>
  <c r="M7" i="4"/>
  <c r="J4" i="4"/>
  <c r="R4" i="4"/>
  <c r="O11" i="4"/>
  <c r="P13" i="4"/>
  <c r="N16" i="4"/>
  <c r="P17" i="4"/>
  <c r="J19" i="4"/>
  <c r="K22" i="4"/>
  <c r="N28" i="4"/>
  <c r="R19" i="1"/>
  <c r="W16" i="1"/>
  <c r="R25" i="1"/>
  <c r="X24" i="1"/>
  <c r="S16" i="3"/>
  <c r="S13" i="3"/>
  <c r="V8" i="3"/>
  <c r="X27" i="2"/>
  <c r="U27" i="3"/>
  <c r="X8" i="3"/>
  <c r="S27" i="1"/>
  <c r="M5" i="2"/>
  <c r="L13" i="2"/>
  <c r="K8" i="2"/>
  <c r="N20" i="2"/>
  <c r="M26" i="2"/>
  <c r="L27" i="2"/>
  <c r="O7" i="3"/>
  <c r="L5" i="3"/>
  <c r="K20" i="2"/>
  <c r="Q19" i="3"/>
  <c r="K26" i="3"/>
  <c r="M23" i="3"/>
  <c r="X19" i="3"/>
  <c r="S18" i="3"/>
  <c r="T26" i="3"/>
  <c r="P16" i="3"/>
  <c r="W15" i="3"/>
  <c r="W11" i="3"/>
  <c r="S14" i="3"/>
  <c r="K7" i="3"/>
  <c r="S7" i="3"/>
  <c r="Q8" i="3"/>
  <c r="P12" i="3"/>
  <c r="V12" i="3"/>
  <c r="M15" i="3"/>
  <c r="Q17" i="3"/>
  <c r="T22" i="3"/>
  <c r="N25" i="3"/>
  <c r="Q25" i="3"/>
  <c r="W25" i="3"/>
  <c r="W28" i="1"/>
  <c r="R27" i="3"/>
  <c r="L23" i="3"/>
  <c r="S20" i="3"/>
  <c r="N19" i="3"/>
  <c r="X13" i="3"/>
  <c r="Q11" i="3"/>
  <c r="N11" i="3"/>
  <c r="R6" i="3"/>
  <c r="T5" i="3"/>
  <c r="X8" i="2"/>
  <c r="O4" i="2"/>
  <c r="K6" i="2"/>
  <c r="M12" i="2"/>
  <c r="P19" i="2"/>
  <c r="T12" i="2"/>
  <c r="X12" i="2"/>
  <c r="Q14" i="2"/>
  <c r="R5" i="2"/>
  <c r="Q7" i="2"/>
  <c r="T10" i="2"/>
  <c r="K11" i="2"/>
  <c r="T14" i="2"/>
  <c r="L15" i="2"/>
  <c r="P15" i="2"/>
  <c r="K17" i="2"/>
  <c r="P17" i="2"/>
  <c r="S17" i="2"/>
  <c r="K21" i="2"/>
  <c r="X24" i="2"/>
  <c r="N28" i="2"/>
  <c r="Q28" i="2"/>
  <c r="AA22" i="3"/>
  <c r="K16" i="3"/>
  <c r="S24" i="3"/>
  <c r="K24" i="3"/>
  <c r="M21" i="3"/>
  <c r="O18" i="3"/>
  <c r="X17" i="3"/>
  <c r="R13" i="3"/>
  <c r="N8" i="3"/>
  <c r="W6" i="3"/>
  <c r="N4" i="3"/>
  <c r="AB7" i="3"/>
  <c r="U18" i="3"/>
  <c r="U20" i="3"/>
  <c r="L22" i="3"/>
  <c r="P26" i="3"/>
  <c r="N27" i="3"/>
  <c r="P28" i="3"/>
  <c r="R23" i="3"/>
  <c r="W21" i="3"/>
  <c r="O20" i="3"/>
  <c r="R15" i="3"/>
  <c r="M13" i="3"/>
  <c r="O10" i="3"/>
  <c r="S27" i="2"/>
  <c r="Q23" i="2"/>
  <c r="K23" i="2"/>
  <c r="V21" i="2"/>
  <c r="N18" i="2"/>
  <c r="Q11" i="2"/>
  <c r="M10" i="2"/>
  <c r="Q13" i="4"/>
  <c r="M26" i="4"/>
  <c r="I27" i="4"/>
  <c r="Q15" i="4"/>
  <c r="M10" i="4"/>
  <c r="K8" i="4"/>
  <c r="P15" i="4"/>
  <c r="O27" i="4"/>
  <c r="M24" i="4"/>
  <c r="P21" i="4"/>
  <c r="O19" i="4"/>
  <c r="P6" i="4"/>
  <c r="N20" i="4"/>
  <c r="Q20" i="4"/>
  <c r="V24" i="4"/>
  <c r="U23" i="4"/>
  <c r="V11" i="4"/>
  <c r="V8" i="4"/>
  <c r="U6" i="4"/>
  <c r="U4" i="2"/>
  <c r="O6" i="2"/>
  <c r="Q12" i="2"/>
  <c r="M24" i="2"/>
  <c r="K25" i="2"/>
  <c r="O27" i="2"/>
  <c r="T19" i="2"/>
  <c r="O8" i="2"/>
  <c r="V6" i="2"/>
  <c r="X26" i="2"/>
  <c r="P23" i="2"/>
  <c r="M16" i="2"/>
  <c r="U11" i="2"/>
  <c r="N16" i="2"/>
  <c r="X16" i="2"/>
  <c r="Q22" i="2"/>
  <c r="M14" i="2"/>
  <c r="W7" i="2"/>
  <c r="R10" i="2"/>
  <c r="P11" i="2"/>
  <c r="W18" i="2"/>
  <c r="X20" i="2"/>
  <c r="S21" i="2"/>
  <c r="V27" i="2"/>
  <c r="X28" i="2"/>
  <c r="AB26" i="2"/>
  <c r="AA14" i="2"/>
  <c r="AA7" i="2"/>
  <c r="AB27" i="2"/>
  <c r="AA25" i="2"/>
  <c r="AB6" i="2"/>
  <c r="U4" i="1"/>
  <c r="U21" i="1"/>
  <c r="O20" i="1"/>
  <c r="X20" i="1"/>
  <c r="X5" i="1"/>
  <c r="O6" i="1"/>
  <c r="N12" i="4"/>
  <c r="U12" i="4"/>
  <c r="K20" i="3"/>
  <c r="W18" i="3"/>
  <c r="T10" i="3"/>
  <c r="U5" i="3"/>
  <c r="Q20" i="2"/>
  <c r="V19" i="2"/>
  <c r="S15" i="2"/>
  <c r="V13" i="2"/>
  <c r="T11" i="2"/>
  <c r="N11" i="2"/>
  <c r="X5" i="2"/>
  <c r="M4" i="2"/>
  <c r="W21" i="1"/>
  <c r="V19" i="1"/>
  <c r="AB6" i="3"/>
  <c r="J4" i="3"/>
  <c r="AA4" i="3" s="1"/>
  <c r="AB17" i="3"/>
  <c r="AA28" i="3"/>
  <c r="AB26" i="3"/>
  <c r="AA14" i="3"/>
  <c r="AB5" i="3"/>
  <c r="M6" i="4"/>
  <c r="AB14" i="2"/>
  <c r="AB7" i="2"/>
  <c r="S4" i="2"/>
  <c r="Q4" i="2"/>
  <c r="S6" i="2"/>
  <c r="O12" i="2"/>
  <c r="U12" i="2"/>
  <c r="U16" i="2"/>
  <c r="U24" i="2"/>
  <c r="M23" i="2"/>
  <c r="L26" i="2"/>
  <c r="K14" i="2"/>
  <c r="L7" i="2"/>
  <c r="X25" i="2"/>
  <c r="M25" i="2"/>
  <c r="T18" i="2"/>
  <c r="L18" i="2"/>
  <c r="K7" i="2"/>
  <c r="U20" i="2"/>
  <c r="U14" i="2"/>
  <c r="R19" i="2"/>
  <c r="N27" i="2"/>
  <c r="N13" i="2"/>
  <c r="V5" i="2"/>
  <c r="L10" i="2"/>
  <c r="P10" i="2"/>
  <c r="X13" i="2"/>
  <c r="Q15" i="2"/>
  <c r="W15" i="2"/>
  <c r="Q21" i="2"/>
  <c r="X21" i="2"/>
  <c r="T26" i="2"/>
  <c r="K28" i="2"/>
  <c r="U28" i="2"/>
  <c r="M10" i="1"/>
  <c r="P22" i="2"/>
  <c r="N22" i="2"/>
  <c r="L19" i="2"/>
  <c r="X10" i="2"/>
  <c r="W23" i="3"/>
  <c r="U21" i="3"/>
  <c r="Q21" i="3"/>
  <c r="U10" i="3"/>
  <c r="L10" i="3"/>
  <c r="AB8" i="3"/>
  <c r="Q16" i="3"/>
  <c r="U19" i="3"/>
  <c r="P17" i="3"/>
  <c r="N26" i="3"/>
  <c r="Q14" i="3"/>
  <c r="Q5" i="3"/>
  <c r="X4" i="3"/>
  <c r="L27" i="3"/>
  <c r="S17" i="3"/>
  <c r="O6" i="3"/>
  <c r="W14" i="3"/>
  <c r="W10" i="3"/>
  <c r="T15" i="3"/>
  <c r="R7" i="3"/>
  <c r="N12" i="3"/>
  <c r="V22" i="3"/>
  <c r="X28" i="3"/>
  <c r="V28" i="3"/>
  <c r="M13" i="4"/>
  <c r="Q19" i="4"/>
  <c r="P12" i="4"/>
  <c r="P21" i="2"/>
  <c r="M21" i="2"/>
  <c r="K22" i="2"/>
  <c r="T23" i="1"/>
  <c r="L23" i="1"/>
  <c r="P19" i="1"/>
  <c r="S11" i="1"/>
  <c r="W6" i="1"/>
  <c r="AA27" i="3"/>
  <c r="W26" i="3"/>
  <c r="U23" i="3"/>
  <c r="S23" i="3"/>
  <c r="P23" i="3"/>
  <c r="K21" i="3"/>
  <c r="O11" i="3"/>
  <c r="W5" i="3"/>
  <c r="T28" i="2"/>
  <c r="V23" i="2"/>
  <c r="T22" i="2"/>
  <c r="S20" i="2"/>
  <c r="O20" i="2"/>
  <c r="U15" i="2"/>
  <c r="AA11" i="2"/>
  <c r="O4" i="4"/>
  <c r="U16" i="4"/>
  <c r="AB5" i="2"/>
  <c r="AA18" i="2"/>
  <c r="AA8" i="2"/>
  <c r="S18" i="1"/>
  <c r="Q17" i="1"/>
  <c r="S26" i="1"/>
  <c r="U25" i="1"/>
  <c r="O24" i="1"/>
  <c r="W18" i="1"/>
  <c r="W12" i="1"/>
  <c r="X22" i="1"/>
  <c r="T12" i="1"/>
  <c r="V11" i="1"/>
  <c r="X7" i="1"/>
  <c r="K8" i="3"/>
  <c r="AA27" i="2"/>
  <c r="S23" i="2"/>
  <c r="P13" i="2"/>
  <c r="AB10" i="2"/>
  <c r="O23" i="1"/>
  <c r="T13" i="1"/>
  <c r="L10" i="1"/>
  <c r="J10" i="1"/>
  <c r="AB10" i="1" s="1"/>
  <c r="O8" i="3"/>
  <c r="O13" i="3"/>
  <c r="M16" i="3"/>
  <c r="M26" i="3"/>
  <c r="V26" i="3"/>
  <c r="W20" i="3"/>
  <c r="L17" i="3"/>
  <c r="V13" i="3"/>
  <c r="M10" i="3"/>
  <c r="R26" i="3"/>
  <c r="Q10" i="3"/>
  <c r="L4" i="3"/>
  <c r="T4" i="3"/>
  <c r="R20" i="3"/>
  <c r="P27" i="3"/>
  <c r="K17" i="3"/>
  <c r="S21" i="3"/>
  <c r="K4" i="3"/>
  <c r="N7" i="3"/>
  <c r="X7" i="3"/>
  <c r="T11" i="3"/>
  <c r="R12" i="3"/>
  <c r="N14" i="3"/>
  <c r="U15" i="3"/>
  <c r="N16" i="3"/>
  <c r="W16" i="3"/>
  <c r="R22" i="3"/>
  <c r="X22" i="3"/>
  <c r="S25" i="3"/>
  <c r="Q27" i="4"/>
  <c r="M15" i="4"/>
  <c r="R5" i="4"/>
  <c r="I16" i="4"/>
  <c r="Q16" i="4"/>
  <c r="K10" i="4"/>
  <c r="K7" i="4"/>
  <c r="U18" i="4"/>
  <c r="Q18" i="4"/>
  <c r="N19" i="4"/>
  <c r="AA19" i="2"/>
  <c r="K4" i="1"/>
  <c r="L4" i="1"/>
  <c r="S4" i="1"/>
  <c r="T4" i="1"/>
  <c r="J21" i="1"/>
  <c r="AB21" i="1" s="1"/>
  <c r="L21" i="1"/>
  <c r="K17" i="1"/>
  <c r="L17" i="1"/>
  <c r="M26" i="1"/>
  <c r="N26" i="1"/>
  <c r="M22" i="1"/>
  <c r="N22" i="1"/>
  <c r="M18" i="1"/>
  <c r="N18" i="1"/>
  <c r="M14" i="1"/>
  <c r="N14" i="1"/>
  <c r="N12" i="1"/>
  <c r="M12" i="1"/>
  <c r="N5" i="1"/>
  <c r="M5" i="1"/>
  <c r="O25" i="1"/>
  <c r="P25" i="1"/>
  <c r="O13" i="1"/>
  <c r="P13" i="1"/>
  <c r="P8" i="1"/>
  <c r="O8" i="1"/>
  <c r="Q24" i="1"/>
  <c r="R24" i="1"/>
  <c r="Q20" i="1"/>
  <c r="R20" i="1"/>
  <c r="Q7" i="1"/>
  <c r="R7" i="1"/>
  <c r="S21" i="1"/>
  <c r="T21" i="1"/>
  <c r="S17" i="1"/>
  <c r="T17" i="1"/>
  <c r="U26" i="1"/>
  <c r="V26" i="1"/>
  <c r="U22" i="1"/>
  <c r="V22" i="1"/>
  <c r="U18" i="1"/>
  <c r="V18" i="1"/>
  <c r="V5" i="1"/>
  <c r="U5" i="1"/>
  <c r="W27" i="1"/>
  <c r="X27" i="1"/>
  <c r="W15" i="1"/>
  <c r="X15" i="1"/>
  <c r="S15" i="1"/>
  <c r="K15" i="1"/>
  <c r="O11" i="1"/>
  <c r="S6" i="1"/>
  <c r="P21" i="1"/>
  <c r="P4" i="1"/>
  <c r="N24" i="1"/>
  <c r="V20" i="1"/>
  <c r="N7" i="1"/>
  <c r="N16" i="1"/>
  <c r="R26" i="1"/>
  <c r="U10" i="1"/>
  <c r="Q5" i="1"/>
  <c r="W4" i="1"/>
  <c r="S8" i="1"/>
  <c r="Q16" i="1"/>
  <c r="U28" i="1"/>
  <c r="W25" i="1"/>
  <c r="P17" i="1"/>
  <c r="K25" i="1"/>
  <c r="V12" i="1"/>
  <c r="R10" i="1"/>
  <c r="X11" i="1"/>
  <c r="X19" i="1"/>
  <c r="J26" i="1"/>
  <c r="AB26" i="1" s="1"/>
  <c r="U14" i="1"/>
  <c r="X23" i="1"/>
  <c r="X17" i="1"/>
  <c r="J22" i="1"/>
  <c r="AB22" i="1" s="1"/>
  <c r="H23" i="44"/>
  <c r="H15" i="44"/>
  <c r="R10" i="4"/>
  <c r="L12" i="4"/>
  <c r="I12" i="4"/>
  <c r="AB20" i="2"/>
  <c r="W19" i="2"/>
  <c r="Q13" i="2"/>
  <c r="AB13" i="2"/>
  <c r="N8" i="2"/>
  <c r="J4" i="2"/>
  <c r="AB4" i="2" s="1"/>
  <c r="H25" i="44"/>
  <c r="H21" i="44"/>
  <c r="H19" i="44"/>
  <c r="H17" i="44"/>
  <c r="H13" i="44"/>
  <c r="J13" i="1"/>
  <c r="H9" i="44"/>
  <c r="X10" i="1"/>
  <c r="H7" i="44"/>
  <c r="H5" i="44"/>
  <c r="H3" i="44"/>
  <c r="U8" i="4"/>
  <c r="L4" i="4"/>
  <c r="H4" i="4"/>
  <c r="J28" i="4"/>
  <c r="J26" i="4"/>
  <c r="I22" i="4"/>
  <c r="J20" i="4"/>
  <c r="I14" i="4"/>
  <c r="J14" i="4"/>
  <c r="I10" i="4"/>
  <c r="I7" i="4"/>
  <c r="J7" i="4"/>
  <c r="L27" i="4"/>
  <c r="K25" i="4"/>
  <c r="L25" i="4"/>
  <c r="L23" i="4"/>
  <c r="K23" i="4"/>
  <c r="L19" i="4"/>
  <c r="K19" i="4"/>
  <c r="L17" i="4"/>
  <c r="L15" i="4"/>
  <c r="K5" i="4"/>
  <c r="L5" i="4"/>
  <c r="M21" i="4"/>
  <c r="N21" i="4"/>
  <c r="P24" i="4"/>
  <c r="O24" i="4"/>
  <c r="P16" i="4"/>
  <c r="O16" i="4"/>
  <c r="O14" i="4"/>
  <c r="P14" i="4"/>
  <c r="O10" i="4"/>
  <c r="P10" i="4"/>
  <c r="I5" i="4"/>
  <c r="M25" i="4"/>
  <c r="O26" i="4"/>
  <c r="M27" i="4"/>
  <c r="Q23" i="4"/>
  <c r="N11" i="4"/>
  <c r="P5" i="4"/>
  <c r="P18" i="4"/>
  <c r="J12" i="4"/>
  <c r="N8" i="4"/>
  <c r="K27" i="4"/>
  <c r="I24" i="4"/>
  <c r="I18" i="4"/>
  <c r="K4" i="4"/>
  <c r="N6" i="4"/>
  <c r="Q7" i="4"/>
  <c r="P7" i="4"/>
  <c r="Q14" i="4"/>
  <c r="M17" i="4"/>
  <c r="I20" i="4"/>
  <c r="K21" i="4"/>
  <c r="O22" i="4"/>
  <c r="J24" i="4"/>
  <c r="O28" i="4"/>
  <c r="L25" i="3"/>
  <c r="L19" i="3"/>
  <c r="K15" i="3"/>
  <c r="L13" i="3"/>
  <c r="K11" i="3"/>
  <c r="L6" i="3"/>
  <c r="K6" i="3"/>
  <c r="N28" i="3"/>
  <c r="M28" i="3"/>
  <c r="N24" i="3"/>
  <c r="M20" i="3"/>
  <c r="M18" i="3"/>
  <c r="N18" i="3"/>
  <c r="P21" i="3"/>
  <c r="O21" i="3"/>
  <c r="T6" i="3"/>
  <c r="S6" i="3"/>
  <c r="V24" i="3"/>
  <c r="U24" i="3"/>
  <c r="U11" i="3"/>
  <c r="V11" i="3"/>
  <c r="V6" i="3"/>
  <c r="U6" i="3"/>
  <c r="M24" i="3"/>
  <c r="H26" i="44"/>
  <c r="H24" i="44"/>
  <c r="H18" i="44"/>
  <c r="H16" i="44"/>
  <c r="H14" i="44"/>
  <c r="H12" i="44"/>
  <c r="H10" i="44"/>
  <c r="H8" i="44"/>
  <c r="H6" i="44"/>
  <c r="H4" i="44"/>
  <c r="H20" i="44"/>
  <c r="H11" i="44"/>
  <c r="H22" i="44"/>
  <c r="J25" i="1"/>
  <c r="N25" i="1"/>
  <c r="M25" i="1"/>
  <c r="J4" i="1"/>
  <c r="M4" i="1"/>
  <c r="N4" i="1"/>
  <c r="Q4" i="1"/>
  <c r="R4" i="1"/>
  <c r="J28" i="1"/>
  <c r="L28" i="1"/>
  <c r="K28" i="1"/>
  <c r="K26" i="1"/>
  <c r="L26" i="1"/>
  <c r="J24" i="1"/>
  <c r="K24" i="1"/>
  <c r="L24" i="1"/>
  <c r="J20" i="1"/>
  <c r="K20" i="1"/>
  <c r="K18" i="1"/>
  <c r="L18" i="1"/>
  <c r="J16" i="1"/>
  <c r="K16" i="1"/>
  <c r="J14" i="1"/>
  <c r="K14" i="1"/>
  <c r="J12" i="1"/>
  <c r="L12" i="1"/>
  <c r="K7" i="1"/>
  <c r="L7" i="1"/>
  <c r="J5" i="1"/>
  <c r="L5" i="1"/>
  <c r="K5" i="1"/>
  <c r="J27" i="1"/>
  <c r="M27" i="1"/>
  <c r="J23" i="1"/>
  <c r="N23" i="1"/>
  <c r="M23" i="1"/>
  <c r="M21" i="1"/>
  <c r="N21" i="1"/>
  <c r="J19" i="1"/>
  <c r="N19" i="1"/>
  <c r="M19" i="1"/>
  <c r="M17" i="1"/>
  <c r="J17" i="1"/>
  <c r="N17" i="1"/>
  <c r="J15" i="1"/>
  <c r="M15" i="1"/>
  <c r="J11" i="1"/>
  <c r="M11" i="1"/>
  <c r="M8" i="1"/>
  <c r="N8" i="1"/>
  <c r="J8" i="1"/>
  <c r="N6" i="1"/>
  <c r="J6" i="1"/>
  <c r="M6" i="1"/>
  <c r="P28" i="1"/>
  <c r="O28" i="1"/>
  <c r="P26" i="1"/>
  <c r="O26" i="1"/>
  <c r="O18" i="1"/>
  <c r="P18" i="1"/>
  <c r="P10" i="1"/>
  <c r="O10" i="1"/>
  <c r="O5" i="1"/>
  <c r="P5" i="1"/>
  <c r="R27" i="1"/>
  <c r="Q27" i="1"/>
  <c r="Q21" i="1"/>
  <c r="R21" i="1"/>
  <c r="R15" i="1"/>
  <c r="Q15" i="1"/>
  <c r="R11" i="1"/>
  <c r="Q11" i="1"/>
  <c r="Q8" i="1"/>
  <c r="R8" i="1"/>
  <c r="R6" i="1"/>
  <c r="Q6" i="1"/>
  <c r="S28" i="1"/>
  <c r="T28" i="1"/>
  <c r="S24" i="1"/>
  <c r="T24" i="1"/>
  <c r="S14" i="1"/>
  <c r="T14" i="1"/>
  <c r="T10" i="1"/>
  <c r="S10" i="1"/>
  <c r="S7" i="1"/>
  <c r="T7" i="1"/>
  <c r="T5" i="1"/>
  <c r="S5" i="1"/>
  <c r="V27" i="1"/>
  <c r="U27" i="1"/>
  <c r="V23" i="1"/>
  <c r="U23" i="1"/>
  <c r="V15" i="1"/>
  <c r="U15" i="1"/>
  <c r="V8" i="1"/>
  <c r="U8" i="1"/>
  <c r="V6" i="1"/>
  <c r="U6" i="1"/>
  <c r="W26" i="1"/>
  <c r="X26" i="1"/>
  <c r="W14" i="1"/>
  <c r="X14" i="1"/>
  <c r="N27" i="1"/>
  <c r="V13" i="1"/>
  <c r="R13" i="1"/>
  <c r="N13" i="1"/>
  <c r="T22" i="1"/>
  <c r="P22" i="1"/>
  <c r="L22" i="1"/>
  <c r="T20" i="1"/>
  <c r="L20" i="1"/>
  <c r="L14" i="1"/>
  <c r="L16" i="1"/>
  <c r="P16" i="1"/>
  <c r="T16" i="1"/>
  <c r="O7" i="1"/>
  <c r="K12" i="1"/>
  <c r="V17" i="1"/>
  <c r="O14" i="1"/>
  <c r="P12" i="1"/>
  <c r="M13" i="1"/>
  <c r="R23" i="1"/>
  <c r="J18" i="1"/>
  <c r="J7" i="1"/>
  <c r="AC22" i="3" l="1"/>
  <c r="AC27" i="2"/>
  <c r="AB16" i="2"/>
  <c r="AC16" i="2" s="1"/>
  <c r="AA17" i="3"/>
  <c r="AC17" i="3" s="1"/>
  <c r="V23" i="4"/>
  <c r="V18" i="4"/>
  <c r="W18" i="4" s="1"/>
  <c r="U11" i="4"/>
  <c r="W11" i="4" s="1"/>
  <c r="V6" i="4"/>
  <c r="AA24" i="2"/>
  <c r="AB24" i="2"/>
  <c r="AA6" i="3"/>
  <c r="AC6" i="3" s="1"/>
  <c r="AB25" i="2"/>
  <c r="AC25" i="2" s="1"/>
  <c r="R29" i="4"/>
  <c r="N6" i="5" s="1"/>
  <c r="U24" i="4"/>
  <c r="W24" i="4" s="1"/>
  <c r="AB14" i="3"/>
  <c r="AC14" i="3" s="1"/>
  <c r="AB4" i="3"/>
  <c r="AB28" i="3"/>
  <c r="AC28" i="3" s="1"/>
  <c r="AA5" i="3"/>
  <c r="AC5" i="3" s="1"/>
  <c r="P29" i="3"/>
  <c r="AA26" i="3"/>
  <c r="AC26" i="3" s="1"/>
  <c r="V16" i="4"/>
  <c r="W16" i="4" s="1"/>
  <c r="AA26" i="2"/>
  <c r="AC26" i="2" s="1"/>
  <c r="K29" i="2"/>
  <c r="T29" i="2"/>
  <c r="F6" i="5" s="1"/>
  <c r="M29" i="2"/>
  <c r="R29" i="2"/>
  <c r="E6" i="5" s="1"/>
  <c r="AA7" i="3"/>
  <c r="AC7" i="3" s="1"/>
  <c r="U29" i="2"/>
  <c r="AB8" i="2"/>
  <c r="AC8" i="2" s="1"/>
  <c r="AA6" i="2"/>
  <c r="AC6" i="2" s="1"/>
  <c r="O29" i="2"/>
  <c r="V29" i="2"/>
  <c r="G6" i="5" s="1"/>
  <c r="X29" i="2"/>
  <c r="G11" i="5" s="1"/>
  <c r="L29" i="2"/>
  <c r="E4" i="5" s="1"/>
  <c r="AC7" i="2"/>
  <c r="AA22" i="1"/>
  <c r="AC22" i="1" s="1"/>
  <c r="V12" i="4"/>
  <c r="W12" i="4" s="1"/>
  <c r="T29" i="3"/>
  <c r="J6" i="5" s="1"/>
  <c r="AA8" i="3"/>
  <c r="AC8" i="3" s="1"/>
  <c r="Q29" i="2"/>
  <c r="AA20" i="2"/>
  <c r="AC20" i="2" s="1"/>
  <c r="AA13" i="2"/>
  <c r="AC13" i="2" s="1"/>
  <c r="P29" i="2"/>
  <c r="G4" i="5" s="1"/>
  <c r="S29" i="2"/>
  <c r="AA16" i="3"/>
  <c r="AB16" i="3"/>
  <c r="W29" i="2"/>
  <c r="AA17" i="2"/>
  <c r="AB17" i="2"/>
  <c r="AC14" i="2"/>
  <c r="AB18" i="2"/>
  <c r="AC18" i="2" s="1"/>
  <c r="N29" i="2"/>
  <c r="F4" i="5" s="1"/>
  <c r="AB19" i="2"/>
  <c r="AC19" i="2" s="1"/>
  <c r="AB27" i="3"/>
  <c r="AC27" i="3" s="1"/>
  <c r="W29" i="3"/>
  <c r="R29" i="3"/>
  <c r="K4" i="5" s="1"/>
  <c r="X29" i="3"/>
  <c r="I8" i="5" s="1"/>
  <c r="Q29" i="3"/>
  <c r="AA26" i="1"/>
  <c r="AC26" i="1" s="1"/>
  <c r="W29" i="1"/>
  <c r="K29" i="3"/>
  <c r="AB22" i="2"/>
  <c r="AA22" i="2"/>
  <c r="AB11" i="2"/>
  <c r="AC11" i="2" s="1"/>
  <c r="AA5" i="2"/>
  <c r="AC5" i="2" s="1"/>
  <c r="AC4" i="3"/>
  <c r="AA4" i="2"/>
  <c r="AC4" i="2" s="1"/>
  <c r="AB28" i="2"/>
  <c r="AA28" i="2"/>
  <c r="AA12" i="2"/>
  <c r="AB12" i="2"/>
  <c r="AA10" i="2"/>
  <c r="AC10" i="2" s="1"/>
  <c r="AA21" i="1"/>
  <c r="AC21" i="1" s="1"/>
  <c r="V29" i="1"/>
  <c r="C6" i="5" s="1"/>
  <c r="AA10" i="1"/>
  <c r="AC10" i="1" s="1"/>
  <c r="AA21" i="3"/>
  <c r="AB21" i="3"/>
  <c r="AB12" i="3"/>
  <c r="AA12" i="3"/>
  <c r="AB10" i="3"/>
  <c r="AA10" i="3"/>
  <c r="S29" i="3"/>
  <c r="O29" i="3"/>
  <c r="L29" i="3"/>
  <c r="Q29" i="4"/>
  <c r="O29" i="4"/>
  <c r="U13" i="4"/>
  <c r="V13" i="4"/>
  <c r="W23" i="4"/>
  <c r="U29" i="1"/>
  <c r="N29" i="4"/>
  <c r="O4" i="5" s="1"/>
  <c r="J29" i="4"/>
  <c r="M4" i="5" s="1"/>
  <c r="AA23" i="2"/>
  <c r="AB23" i="2"/>
  <c r="AB21" i="2"/>
  <c r="AA21" i="2"/>
  <c r="AA15" i="2"/>
  <c r="AB15" i="2"/>
  <c r="J29" i="2"/>
  <c r="AA23" i="3"/>
  <c r="AB23" i="3"/>
  <c r="V29" i="3"/>
  <c r="K6" i="5" s="1"/>
  <c r="L29" i="1"/>
  <c r="A4" i="5" s="1"/>
  <c r="AB13" i="1"/>
  <c r="AA13" i="1"/>
  <c r="X29" i="1"/>
  <c r="A8" i="5" s="1"/>
  <c r="K29" i="4"/>
  <c r="I29" i="4"/>
  <c r="V15" i="4"/>
  <c r="U15" i="4"/>
  <c r="U19" i="4"/>
  <c r="V19" i="4"/>
  <c r="U27" i="4"/>
  <c r="V27" i="4"/>
  <c r="U10" i="4"/>
  <c r="V10" i="4"/>
  <c r="V20" i="4"/>
  <c r="U20" i="4"/>
  <c r="U28" i="4"/>
  <c r="V28" i="4"/>
  <c r="U4" i="4"/>
  <c r="H29" i="4"/>
  <c r="V4" i="4"/>
  <c r="U21" i="4"/>
  <c r="V21" i="4"/>
  <c r="M29" i="4"/>
  <c r="U7" i="4"/>
  <c r="V7" i="4"/>
  <c r="V5" i="4"/>
  <c r="U5" i="4"/>
  <c r="P29" i="4"/>
  <c r="M6" i="5" s="1"/>
  <c r="W6" i="4"/>
  <c r="V17" i="4"/>
  <c r="U17" i="4"/>
  <c r="V25" i="4"/>
  <c r="U25" i="4"/>
  <c r="V14" i="4"/>
  <c r="U14" i="4"/>
  <c r="V22" i="4"/>
  <c r="U22" i="4"/>
  <c r="U26" i="4"/>
  <c r="V26" i="4"/>
  <c r="L29" i="4"/>
  <c r="N4" i="5" s="1"/>
  <c r="W8" i="4"/>
  <c r="AA18" i="3"/>
  <c r="AB18" i="3"/>
  <c r="AA13" i="3"/>
  <c r="AB13" i="3"/>
  <c r="AB19" i="3"/>
  <c r="AA19" i="3"/>
  <c r="AB25" i="3"/>
  <c r="AA25" i="3"/>
  <c r="U29" i="3"/>
  <c r="N29" i="3"/>
  <c r="J4" i="5" s="1"/>
  <c r="M29" i="3"/>
  <c r="AA20" i="3"/>
  <c r="AB20" i="3"/>
  <c r="AA24" i="3"/>
  <c r="AB24" i="3"/>
  <c r="AA11" i="3"/>
  <c r="AB11" i="3"/>
  <c r="J29" i="3"/>
  <c r="AB15" i="3"/>
  <c r="AA15" i="3"/>
  <c r="T29" i="1"/>
  <c r="B6" i="5" s="1"/>
  <c r="AB11" i="1"/>
  <c r="AA11" i="1"/>
  <c r="M29" i="1"/>
  <c r="AB18" i="1"/>
  <c r="AA18" i="1"/>
  <c r="O29" i="1"/>
  <c r="AB6" i="1"/>
  <c r="AA6" i="1"/>
  <c r="AB8" i="1"/>
  <c r="AA8" i="1"/>
  <c r="AB15" i="1"/>
  <c r="AA15" i="1"/>
  <c r="AB17" i="1"/>
  <c r="AA17" i="1"/>
  <c r="AB19" i="1"/>
  <c r="AA19" i="1"/>
  <c r="K29" i="1"/>
  <c r="AA5" i="1"/>
  <c r="AB5" i="1"/>
  <c r="AA12" i="1"/>
  <c r="AB12" i="1"/>
  <c r="AA14" i="1"/>
  <c r="AB14" i="1"/>
  <c r="AA16" i="1"/>
  <c r="AB16" i="1"/>
  <c r="AA20" i="1"/>
  <c r="AB20" i="1"/>
  <c r="AA28" i="1"/>
  <c r="AB28" i="1"/>
  <c r="Q29" i="1"/>
  <c r="AB25" i="1"/>
  <c r="AA25" i="1"/>
  <c r="AA7" i="1"/>
  <c r="AB7" i="1"/>
  <c r="S29" i="1"/>
  <c r="P29" i="1"/>
  <c r="C4" i="5" s="1"/>
  <c r="AA23" i="1"/>
  <c r="AB23" i="1"/>
  <c r="AB27" i="1"/>
  <c r="AA27" i="1"/>
  <c r="AA24" i="1"/>
  <c r="AB24" i="1"/>
  <c r="R29" i="1"/>
  <c r="A6" i="5" s="1"/>
  <c r="N29" i="1"/>
  <c r="B4" i="5" s="1"/>
  <c r="J29" i="1"/>
  <c r="AB4" i="1"/>
  <c r="AA4" i="1"/>
  <c r="W4" i="4" l="1"/>
  <c r="AC24" i="2"/>
  <c r="E8" i="5"/>
  <c r="I6" i="5"/>
  <c r="W26" i="4"/>
  <c r="W7" i="4"/>
  <c r="W28" i="4"/>
  <c r="W27" i="4"/>
  <c r="W19" i="4"/>
  <c r="AC17" i="2"/>
  <c r="AC16" i="3"/>
  <c r="AB29" i="2"/>
  <c r="F11" i="5" s="1"/>
  <c r="AA29" i="2"/>
  <c r="E11" i="5" s="1"/>
  <c r="AC28" i="2"/>
  <c r="AC22" i="2"/>
  <c r="AC12" i="2"/>
  <c r="AC4" i="1"/>
  <c r="AC25" i="1"/>
  <c r="AC28" i="1"/>
  <c r="AC16" i="1"/>
  <c r="AC14" i="1"/>
  <c r="AC17" i="1"/>
  <c r="AC21" i="3"/>
  <c r="AC18" i="3"/>
  <c r="AB29" i="3"/>
  <c r="J11" i="5" s="1"/>
  <c r="I4" i="5"/>
  <c r="AC15" i="2"/>
  <c r="AC27" i="1"/>
  <c r="AC12" i="1"/>
  <c r="AC8" i="1"/>
  <c r="AA29" i="3"/>
  <c r="I11" i="5" s="1"/>
  <c r="AC10" i="3"/>
  <c r="AC12" i="3"/>
  <c r="W13" i="4"/>
  <c r="AC23" i="2"/>
  <c r="W10" i="4"/>
  <c r="V29" i="4"/>
  <c r="N11" i="5" s="1"/>
  <c r="AC21" i="2"/>
  <c r="AC24" i="3"/>
  <c r="AC23" i="3"/>
  <c r="AC20" i="3"/>
  <c r="AC13" i="3"/>
  <c r="AC11" i="3"/>
  <c r="AC24" i="1"/>
  <c r="AC20" i="1"/>
  <c r="AC19" i="1"/>
  <c r="AC15" i="1"/>
  <c r="AC13" i="1"/>
  <c r="AC11" i="1"/>
  <c r="AC6" i="1"/>
  <c r="AC5" i="1"/>
  <c r="U29" i="4"/>
  <c r="M11" i="5" s="1"/>
  <c r="W22" i="4"/>
  <c r="W14" i="4"/>
  <c r="W25" i="4"/>
  <c r="W17" i="4"/>
  <c r="W5" i="4"/>
  <c r="W21" i="4"/>
  <c r="W20" i="4"/>
  <c r="W15" i="4"/>
  <c r="AC15" i="3"/>
  <c r="AC25" i="3"/>
  <c r="AC19" i="3"/>
  <c r="AA29" i="1"/>
  <c r="A11" i="5" s="1"/>
  <c r="AC23" i="1"/>
  <c r="AC7" i="1"/>
  <c r="AC18" i="1"/>
  <c r="AB29" i="1"/>
  <c r="AC29" i="2" l="1"/>
  <c r="AC29" i="3"/>
  <c r="K11" i="5" s="1"/>
  <c r="E16" i="5"/>
  <c r="W29" i="4"/>
  <c r="O11" i="5" s="1"/>
  <c r="B11" i="5"/>
  <c r="I16" i="5" s="1"/>
  <c r="AC29" i="1"/>
  <c r="C11" i="5" s="1"/>
  <c r="M16" i="5" l="1"/>
</calcChain>
</file>

<file path=xl/sharedStrings.xml><?xml version="1.0" encoding="utf-8"?>
<sst xmlns="http://schemas.openxmlformats.org/spreadsheetml/2006/main" count="1161" uniqueCount="141">
  <si>
    <t>No.</t>
  </si>
  <si>
    <t>Producto</t>
  </si>
  <si>
    <t>Martes</t>
  </si>
  <si>
    <t>Miercoles</t>
  </si>
  <si>
    <t xml:space="preserve">Jueves </t>
  </si>
  <si>
    <t>Viernes</t>
  </si>
  <si>
    <t>Sabado</t>
  </si>
  <si>
    <t>domingo</t>
  </si>
  <si>
    <t>Lunes</t>
  </si>
  <si>
    <t>Total / semana</t>
  </si>
  <si>
    <t>Importe Martes</t>
  </si>
  <si>
    <t>Nota Martes</t>
  </si>
  <si>
    <t>Imp Miercoles</t>
  </si>
  <si>
    <t>Nota Miercoles</t>
  </si>
  <si>
    <t>Imp. Jueves</t>
  </si>
  <si>
    <t>Nota Jueves</t>
  </si>
  <si>
    <t>Imp. Viernes</t>
  </si>
  <si>
    <t>Nota Viernes</t>
  </si>
  <si>
    <t>Imp. Sabado</t>
  </si>
  <si>
    <t>Nota Sabado</t>
  </si>
  <si>
    <t>Imp. Domingo</t>
  </si>
  <si>
    <t>Nota Domingo</t>
  </si>
  <si>
    <t>Imp. Lunes</t>
  </si>
  <si>
    <t>Nota Lunes</t>
  </si>
  <si>
    <t>PRECIO COSTO</t>
  </si>
  <si>
    <t>PRECIO VENTA</t>
  </si>
  <si>
    <t>Total Compra</t>
  </si>
  <si>
    <t>Total Venta</t>
  </si>
  <si>
    <t>Utilidad</t>
  </si>
  <si>
    <t>GUARDERIA</t>
  </si>
  <si>
    <t>CLINICA IMMS 3</t>
  </si>
  <si>
    <t>CLINICA IMMS 2</t>
  </si>
  <si>
    <t>IMSS 1</t>
  </si>
  <si>
    <t>IMSS 2</t>
  </si>
  <si>
    <t>IMSS 3</t>
  </si>
  <si>
    <t>Total Com</t>
  </si>
  <si>
    <t>TOTAL DE VENTA</t>
  </si>
  <si>
    <t>TOTAL DE COMPRA</t>
  </si>
  <si>
    <t xml:space="preserve">UTILIDAD </t>
  </si>
  <si>
    <t>Notas</t>
  </si>
  <si>
    <t>Jueves</t>
  </si>
  <si>
    <t>viernes</t>
  </si>
  <si>
    <t>sabado</t>
  </si>
  <si>
    <t xml:space="preserve">                                                       CLINICA IMMS 1</t>
  </si>
  <si>
    <t>BISTEC DE PIERNA DE RES</t>
  </si>
  <si>
    <t>CHAMBARETE DE RES</t>
  </si>
  <si>
    <t>CHULETA DE CERDO</t>
  </si>
  <si>
    <t>CUETE DE PIERNA DE RES</t>
  </si>
  <si>
    <t>FALDA DE RES</t>
  </si>
  <si>
    <t>HUEVO ENTERO</t>
  </si>
  <si>
    <t>JAMÓN DE CERDO FINO CON 16% DE PROTEÍNA</t>
  </si>
  <si>
    <t>JAMÓN DE PAVO</t>
  </si>
  <si>
    <t>JAMÓN DE PECHUGA DE PAVO</t>
  </si>
  <si>
    <t>LOMO DE CERDO</t>
  </si>
  <si>
    <t>MORTADELA</t>
  </si>
  <si>
    <t>PECHUGA DE POLLO DESHUESADA</t>
  </si>
  <si>
    <t>PIERNA DE CERDO EN TROZO</t>
  </si>
  <si>
    <t>PIERNA DE CERDO MOLIDA</t>
  </si>
  <si>
    <t>POLLO ENTERO</t>
  </si>
  <si>
    <t>PULPA DE RES EN TROZO</t>
  </si>
  <si>
    <t>PULPA DE RES MOLIDA</t>
  </si>
  <si>
    <t>SALCHICHA DE CERDO VIENA</t>
  </si>
  <si>
    <t>SALCHICHA DE PAVO VIENA</t>
  </si>
  <si>
    <t>TOCINO</t>
  </si>
  <si>
    <t>PRODUCTO</t>
  </si>
  <si>
    <t>MARTES</t>
  </si>
  <si>
    <t>MIERCOLES</t>
  </si>
  <si>
    <t>JUEVES</t>
  </si>
  <si>
    <t>VIERNES</t>
  </si>
  <si>
    <t xml:space="preserve">SABADO </t>
  </si>
  <si>
    <t>DOMINGO</t>
  </si>
  <si>
    <t>LUNES</t>
  </si>
  <si>
    <t xml:space="preserve">IMSS 1  </t>
  </si>
  <si>
    <t>Guarderia</t>
  </si>
  <si>
    <t>PECHUGA  DESHUESADA EN BISTEC</t>
  </si>
  <si>
    <t>PECHUGA DE POLLO  MÓLIDA</t>
  </si>
  <si>
    <t>Total general</t>
  </si>
  <si>
    <t>Suma de Nota Martes</t>
  </si>
  <si>
    <t>Total</t>
  </si>
  <si>
    <t>Carniceria "La Veronica"</t>
  </si>
  <si>
    <t>Jesus Manuel Romo Alba  R.F.C. ROAJ600629RQ5</t>
  </si>
  <si>
    <t xml:space="preserve">                        C. ALEGRIA #211 BARRIO DEL ENCINO C. P. 20240 AGUASCALIENTES, AGS.</t>
  </si>
  <si>
    <t xml:space="preserve">   NOMBRE:</t>
  </si>
  <si>
    <t xml:space="preserve">   DOMICILIO:</t>
  </si>
  <si>
    <t xml:space="preserve">   CIUDAD:</t>
  </si>
  <si>
    <t>AGUASCALIENTES</t>
  </si>
  <si>
    <t>C. Unit.</t>
  </si>
  <si>
    <t>Suma de Nota Miercoles</t>
  </si>
  <si>
    <t>Suma de Nota Jueves</t>
  </si>
  <si>
    <t>Suma de Nota Viernes</t>
  </si>
  <si>
    <t>Suma de Nota Sabado</t>
  </si>
  <si>
    <t>Suma de Nota Domingo</t>
  </si>
  <si>
    <t>Suma de Nota Lunes</t>
  </si>
  <si>
    <t xml:space="preserve">IMSS #1 </t>
  </si>
  <si>
    <t>IMSS #2</t>
  </si>
  <si>
    <t>IMSS #3</t>
  </si>
  <si>
    <t>Kilos 1</t>
  </si>
  <si>
    <t>Kilos 3</t>
  </si>
  <si>
    <t>Kilos Gua</t>
  </si>
  <si>
    <t>Kilos 2</t>
  </si>
  <si>
    <t>Kilos / Semana</t>
  </si>
  <si>
    <t>Carne en Kilos / Clinica</t>
  </si>
  <si>
    <t>SABADO</t>
  </si>
  <si>
    <t>H.G.Z. No. 1</t>
  </si>
  <si>
    <t>H.G.Z. No.2</t>
  </si>
  <si>
    <t>H.G.Z. No.3</t>
  </si>
  <si>
    <t>GUARDERIA ORDINARIA G-0001</t>
  </si>
  <si>
    <t xml:space="preserve"> </t>
  </si>
  <si>
    <t>.</t>
  </si>
  <si>
    <t>IMSS #1</t>
  </si>
  <si>
    <t>Folio No. 7058</t>
  </si>
  <si>
    <t>Folio No. 7059</t>
  </si>
  <si>
    <t>Folio No. 7060</t>
  </si>
  <si>
    <t>Folio No. 7061</t>
  </si>
  <si>
    <t>Folio No. 7062</t>
  </si>
  <si>
    <t>Folio No. 7063</t>
  </si>
  <si>
    <t>Folio No. 7292</t>
  </si>
  <si>
    <t>Folio No. 7293</t>
  </si>
  <si>
    <t>Folio No. 7294</t>
  </si>
  <si>
    <t>Folio No. 8180</t>
  </si>
  <si>
    <t>Folio No. 8370</t>
  </si>
  <si>
    <t>Folio No. 8371</t>
  </si>
  <si>
    <t>Folio No. 8372</t>
  </si>
  <si>
    <t>Folio No. 8380</t>
  </si>
  <si>
    <t>Folio No. 8381</t>
  </si>
  <si>
    <t>Folio No. 8382</t>
  </si>
  <si>
    <t>Folio No. 8383</t>
  </si>
  <si>
    <t>Folio No. 9036</t>
  </si>
  <si>
    <t>Folio No. 9043</t>
  </si>
  <si>
    <t xml:space="preserve">    </t>
  </si>
  <si>
    <t>Folio No. 9000</t>
  </si>
  <si>
    <t>Folio No. 9001</t>
  </si>
  <si>
    <t>Folio No. 9002</t>
  </si>
  <si>
    <t>Folio No. 8000</t>
  </si>
  <si>
    <t>Folio No. 8001</t>
  </si>
  <si>
    <t>Folio No. 8002</t>
  </si>
  <si>
    <t>Folio No. 8003</t>
  </si>
  <si>
    <t xml:space="preserve">PECHUGA DE POLLO </t>
  </si>
  <si>
    <t>MERO EN FILETE CONGELADO</t>
  </si>
  <si>
    <t>PIERNA Y MUSLO DE POLLO SIN PIEL EN FORMA DE PISTOLA</t>
  </si>
  <si>
    <t>11-17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</si>
</sst>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164" formatCode="&quot;$&quot;#,##0.00"/>
    <numFmt numFmtId="165" formatCode="[$-F800]dddd\,\ mmmm\ dd\,\ yyyy"/>
    <numFmt numFmtId="166" formatCode="&quot;$&quot;#,##0.000"/>
  </numFmts>
  <fonts count="3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rial Black"/>
      <family val="2"/>
    </font>
    <font>
      <sz val="16"/>
      <color theme="1"/>
      <name val="Arial Black"/>
      <family val="2"/>
    </font>
    <font>
      <sz val="7"/>
      <color theme="1"/>
      <name val="Calibri"/>
      <family val="2"/>
      <scheme val="minor"/>
    </font>
    <font>
      <sz val="7"/>
      <color rgb="FF000000"/>
      <name val="Arial Narrow"/>
      <family val="2"/>
    </font>
    <font>
      <sz val="8"/>
      <color theme="1"/>
      <name val="Calibri"/>
      <family val="2"/>
      <scheme val="minor"/>
    </font>
    <font>
      <sz val="7"/>
      <color theme="1"/>
      <name val="Arial Narrow"/>
      <family val="2"/>
    </font>
    <font>
      <b/>
      <sz val="7"/>
      <color theme="0"/>
      <name val="Calibri"/>
      <family val="2"/>
      <scheme val="minor"/>
    </font>
    <font>
      <sz val="7"/>
      <color theme="0"/>
      <name val="Calibri"/>
      <family val="2"/>
      <scheme val="minor"/>
    </font>
    <font>
      <sz val="7"/>
      <color theme="1"/>
      <name val="Arial Black"/>
      <family val="2"/>
    </font>
    <font>
      <b/>
      <sz val="7"/>
      <color theme="1"/>
      <name val="Calibri"/>
      <family val="2"/>
      <scheme val="minor"/>
    </font>
    <font>
      <sz val="7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7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Arial Black"/>
      <family val="2"/>
    </font>
    <font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4"/>
      <color theme="1"/>
      <name val="Arial Black"/>
      <family val="2"/>
    </font>
    <font>
      <sz val="9"/>
      <color theme="1"/>
      <name val="Calibri"/>
      <family val="2"/>
      <scheme val="minor"/>
    </font>
    <font>
      <sz val="28"/>
      <color theme="1"/>
      <name val="America and Stars"/>
    </font>
    <font>
      <sz val="7"/>
      <color theme="1"/>
      <name val="Bahnschrift SemiBold"/>
      <family val="2"/>
    </font>
    <font>
      <sz val="14"/>
      <color theme="1"/>
      <name val="Bahnschrift SemiBold"/>
      <family val="2"/>
    </font>
    <font>
      <sz val="9"/>
      <color theme="1"/>
      <name val="Bahnschrift SemiBold"/>
      <family val="2"/>
    </font>
    <font>
      <b/>
      <sz val="9"/>
      <color theme="1"/>
      <name val="Bahnschrift SemiBold"/>
      <family val="2"/>
    </font>
    <font>
      <sz val="11"/>
      <color theme="1"/>
      <name val="Arial Black"/>
      <family val="2"/>
    </font>
    <font>
      <sz val="28"/>
      <color theme="1"/>
      <name val="Coolvetica Rg"/>
      <family val="2"/>
    </font>
    <font>
      <sz val="24"/>
      <color theme="1"/>
      <name val="Coolvetica Rg"/>
      <family val="2"/>
    </font>
    <font>
      <sz val="26"/>
      <color rgb="FFFF0000"/>
      <name val="Coolvetica Rg"/>
      <family val="2"/>
    </font>
    <font>
      <sz val="16"/>
      <color rgb="FF92D050"/>
      <name val="Arial Black"/>
      <family val="2"/>
    </font>
    <font>
      <b/>
      <sz val="9"/>
      <color rgb="FFFF0000"/>
      <name val="Arial Black"/>
      <family val="2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11"/>
      <color theme="1"/>
      <name val="Bahnschrift SemiBold"/>
      <family val="2"/>
    </font>
    <font>
      <b/>
      <sz val="18"/>
      <color rgb="FFFF0000"/>
      <name val="Arial Black"/>
      <family val="2"/>
    </font>
    <font>
      <sz val="11"/>
      <color theme="1"/>
      <name val="Arial Black"/>
    </font>
  </fonts>
  <fills count="1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1" fontId="4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0" borderId="0" xfId="0" applyFont="1"/>
    <xf numFmtId="1" fontId="8" fillId="2" borderId="2" xfId="0" applyNumberFormat="1" applyFont="1" applyFill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9" borderId="2" xfId="0" applyNumberFormat="1" applyFont="1" applyFill="1" applyBorder="1" applyAlignment="1">
      <alignment horizontal="center" vertical="center"/>
    </xf>
    <xf numFmtId="164" fontId="4" fillId="10" borderId="2" xfId="0" applyNumberFormat="1" applyFont="1" applyFill="1" applyBorder="1" applyAlignment="1">
      <alignment horizontal="center" vertical="center"/>
    </xf>
    <xf numFmtId="8" fontId="4" fillId="0" borderId="0" xfId="0" applyNumberFormat="1" applyFont="1" applyAlignment="1">
      <alignment horizontal="center" vertical="center"/>
    </xf>
    <xf numFmtId="8" fontId="12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64" fontId="4" fillId="8" borderId="2" xfId="0" applyNumberFormat="1" applyFont="1" applyFill="1" applyBorder="1" applyAlignment="1">
      <alignment horizontal="center" vertical="center"/>
    </xf>
    <xf numFmtId="0" fontId="3" fillId="11" borderId="0" xfId="0" applyFont="1" applyFill="1"/>
    <xf numFmtId="164" fontId="11" fillId="11" borderId="0" xfId="0" applyNumberFormat="1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8" fontId="4" fillId="11" borderId="0" xfId="0" applyNumberFormat="1" applyFont="1" applyFill="1" applyAlignment="1">
      <alignment horizontal="center" vertical="center"/>
    </xf>
    <xf numFmtId="164" fontId="4" fillId="11" borderId="0" xfId="0" applyNumberFormat="1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0" fillId="11" borderId="0" xfId="0" applyFill="1"/>
    <xf numFmtId="0" fontId="6" fillId="11" borderId="0" xfId="0" applyFont="1" applyFill="1" applyAlignment="1">
      <alignment horizontal="center" vertical="center"/>
    </xf>
    <xf numFmtId="8" fontId="12" fillId="11" borderId="0" xfId="0" applyNumberFormat="1" applyFont="1" applyFill="1" applyAlignment="1">
      <alignment horizontal="center" vertical="center"/>
    </xf>
    <xf numFmtId="0" fontId="1" fillId="0" borderId="0" xfId="0" applyFont="1"/>
    <xf numFmtId="0" fontId="0" fillId="0" borderId="2" xfId="0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13" borderId="7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10" borderId="19" xfId="0" applyFill="1" applyBorder="1" applyAlignment="1">
      <alignment horizontal="center"/>
    </xf>
    <xf numFmtId="0" fontId="0" fillId="13" borderId="19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" fontId="2" fillId="10" borderId="1" xfId="0" applyNumberFormat="1" applyFont="1" applyFill="1" applyBorder="1"/>
    <xf numFmtId="1" fontId="2" fillId="0" borderId="0" xfId="0" applyNumberFormat="1" applyFont="1"/>
    <xf numFmtId="1" fontId="2" fillId="0" borderId="0" xfId="0" applyNumberFormat="1" applyFont="1" applyProtection="1"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" fontId="2" fillId="0" borderId="0" xfId="0" applyNumberFormat="1" applyFont="1" applyProtection="1">
      <protection hidden="1"/>
    </xf>
    <xf numFmtId="1" fontId="2" fillId="10" borderId="1" xfId="0" applyNumberFormat="1" applyFont="1" applyFill="1" applyBorder="1" applyProtection="1">
      <protection hidden="1"/>
    </xf>
    <xf numFmtId="0" fontId="8" fillId="2" borderId="2" xfId="0" applyFont="1" applyFill="1" applyBorder="1" applyAlignment="1" applyProtection="1">
      <alignment horizontal="center" vertical="center"/>
      <protection hidden="1"/>
    </xf>
    <xf numFmtId="164" fontId="4" fillId="5" borderId="2" xfId="0" applyNumberFormat="1" applyFont="1" applyFill="1" applyBorder="1" applyAlignment="1" applyProtection="1">
      <alignment horizontal="center" vertical="center"/>
      <protection hidden="1"/>
    </xf>
    <xf numFmtId="0" fontId="4" fillId="0" borderId="0" xfId="0" applyFont="1" applyProtection="1">
      <protection hidden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8" fontId="17" fillId="6" borderId="2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 applyProtection="1">
      <alignment horizontal="center" vertical="center"/>
      <protection hidden="1"/>
    </xf>
    <xf numFmtId="164" fontId="9" fillId="0" borderId="0" xfId="0" applyNumberFormat="1" applyFont="1" applyAlignment="1">
      <alignment horizontal="center" vertical="center"/>
    </xf>
    <xf numFmtId="164" fontId="4" fillId="9" borderId="21" xfId="0" applyNumberFormat="1" applyFont="1" applyFill="1" applyBorder="1" applyAlignment="1">
      <alignment horizontal="center" vertical="center"/>
    </xf>
    <xf numFmtId="14" fontId="18" fillId="0" borderId="0" xfId="0" applyNumberFormat="1" applyFont="1"/>
    <xf numFmtId="14" fontId="15" fillId="0" borderId="0" xfId="0" applyNumberFormat="1" applyFont="1"/>
    <xf numFmtId="0" fontId="15" fillId="0" borderId="0" xfId="0" applyFont="1"/>
    <xf numFmtId="0" fontId="13" fillId="0" borderId="0" xfId="0" applyFont="1"/>
    <xf numFmtId="0" fontId="13" fillId="0" borderId="0" xfId="0" applyFont="1" applyProtection="1">
      <protection locked="0"/>
    </xf>
    <xf numFmtId="0" fontId="1" fillId="0" borderId="0" xfId="0" applyFont="1" applyProtection="1"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15" fillId="0" borderId="0" xfId="0" applyFont="1" applyProtection="1">
      <protection locked="0"/>
    </xf>
    <xf numFmtId="1" fontId="2" fillId="9" borderId="0" xfId="0" applyNumberFormat="1" applyFont="1" applyFill="1"/>
    <xf numFmtId="1" fontId="2" fillId="13" borderId="0" xfId="0" applyNumberFormat="1" applyFont="1" applyFill="1"/>
    <xf numFmtId="1" fontId="2" fillId="8" borderId="0" xfId="0" applyNumberFormat="1" applyFont="1" applyFill="1"/>
    <xf numFmtId="0" fontId="19" fillId="0" borderId="2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/>
    </xf>
    <xf numFmtId="0" fontId="6" fillId="0" borderId="0" xfId="0" applyFont="1"/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3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8" fillId="0" borderId="0" xfId="0" pivotButton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2" fillId="7" borderId="2" xfId="0" applyFont="1" applyFill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34" fillId="7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 applyProtection="1">
      <alignment horizontal="center" vertical="center"/>
      <protection locked="0"/>
    </xf>
    <xf numFmtId="0" fontId="4" fillId="16" borderId="2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/>
    </xf>
    <xf numFmtId="0" fontId="1" fillId="7" borderId="2" xfId="0" applyFont="1" applyFill="1" applyBorder="1" applyAlignment="1">
      <alignment horizontal="center" vertical="center"/>
    </xf>
    <xf numFmtId="0" fontId="11" fillId="7" borderId="2" xfId="0" applyFont="1" applyFill="1" applyBorder="1"/>
    <xf numFmtId="0" fontId="22" fillId="0" borderId="2" xfId="0" applyFont="1" applyBorder="1"/>
    <xf numFmtId="0" fontId="22" fillId="15" borderId="2" xfId="0" applyFont="1" applyFill="1" applyBorder="1" applyAlignment="1">
      <alignment horizontal="center" vertical="center"/>
    </xf>
    <xf numFmtId="0" fontId="34" fillId="4" borderId="2" xfId="0" applyFont="1" applyFill="1" applyBorder="1" applyAlignment="1">
      <alignment horizontal="center" vertical="center"/>
    </xf>
    <xf numFmtId="0" fontId="35" fillId="14" borderId="2" xfId="0" applyFont="1" applyFill="1" applyBorder="1" applyAlignment="1">
      <alignment horizontal="center"/>
    </xf>
    <xf numFmtId="0" fontId="0" fillId="0" borderId="2" xfId="0" applyBorder="1"/>
    <xf numFmtId="0" fontId="0" fillId="0" borderId="2" xfId="0" pivotButton="1" applyBorder="1"/>
    <xf numFmtId="0" fontId="0" fillId="0" borderId="2" xfId="0" pivotButton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pivotButton="1" applyBorder="1" applyAlignment="1">
      <alignment horizontal="left"/>
    </xf>
    <xf numFmtId="164" fontId="0" fillId="0" borderId="2" xfId="0" applyNumberFormat="1" applyBorder="1"/>
    <xf numFmtId="16" fontId="37" fillId="0" borderId="0" xfId="0" applyNumberFormat="1" applyFont="1" applyAlignment="1">
      <alignment horizontal="center" vertical="center"/>
    </xf>
    <xf numFmtId="166" fontId="0" fillId="0" borderId="2" xfId="0" applyNumberFormat="1" applyBorder="1"/>
    <xf numFmtId="0" fontId="0" fillId="0" borderId="0" xfId="0" applyAlignment="1">
      <alignment horizontal="center" vertical="center"/>
    </xf>
    <xf numFmtId="0" fontId="38" fillId="0" borderId="2" xfId="0" pivotButton="1" applyFont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27" fillId="0" borderId="24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6" fillId="0" borderId="2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center" vertical="center"/>
    </xf>
    <xf numFmtId="165" fontId="25" fillId="0" borderId="19" xfId="0" applyNumberFormat="1" applyFont="1" applyBorder="1" applyAlignment="1">
      <alignment horizontal="center" vertical="center"/>
    </xf>
    <xf numFmtId="165" fontId="25" fillId="0" borderId="22" xfId="0" applyNumberFormat="1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7" fillId="0" borderId="36" xfId="0" applyFont="1" applyBorder="1" applyAlignment="1">
      <alignment horizontal="center" vertical="center"/>
    </xf>
    <xf numFmtId="165" fontId="27" fillId="0" borderId="24" xfId="0" applyNumberFormat="1" applyFont="1" applyBorder="1" applyAlignment="1">
      <alignment horizontal="center" vertical="center"/>
    </xf>
    <xf numFmtId="165" fontId="27" fillId="0" borderId="25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27" fillId="0" borderId="33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1" fontId="2" fillId="13" borderId="0" xfId="0" applyNumberFormat="1" applyFont="1" applyFill="1" applyAlignment="1">
      <alignment horizontal="center"/>
    </xf>
    <xf numFmtId="1" fontId="2" fillId="8" borderId="0" xfId="0" applyNumberFormat="1" applyFont="1" applyFill="1" applyAlignment="1">
      <alignment horizontal="center"/>
    </xf>
    <xf numFmtId="1" fontId="2" fillId="9" borderId="0" xfId="0" applyNumberFormat="1" applyFont="1" applyFill="1" applyAlignment="1">
      <alignment horizontal="center"/>
    </xf>
    <xf numFmtId="0" fontId="13" fillId="10" borderId="3" xfId="0" applyFont="1" applyFill="1" applyBorder="1" applyAlignment="1">
      <alignment horizontal="center"/>
    </xf>
    <xf numFmtId="0" fontId="13" fillId="13" borderId="3" xfId="0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13" fillId="9" borderId="3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64" fontId="14" fillId="5" borderId="13" xfId="0" applyNumberFormat="1" applyFont="1" applyFill="1" applyBorder="1" applyAlignment="1">
      <alignment horizontal="center"/>
    </xf>
    <xf numFmtId="164" fontId="14" fillId="5" borderId="14" xfId="0" applyNumberFormat="1" applyFont="1" applyFill="1" applyBorder="1" applyAlignment="1">
      <alignment horizontal="center"/>
    </xf>
    <xf numFmtId="164" fontId="14" fillId="5" borderId="15" xfId="0" applyNumberFormat="1" applyFont="1" applyFill="1" applyBorder="1" applyAlignment="1">
      <alignment horizontal="center"/>
    </xf>
    <xf numFmtId="164" fontId="14" fillId="5" borderId="16" xfId="0" applyNumberFormat="1" applyFont="1" applyFill="1" applyBorder="1" applyAlignment="1">
      <alignment horizontal="center"/>
    </xf>
    <xf numFmtId="164" fontId="14" fillId="5" borderId="17" xfId="0" applyNumberFormat="1" applyFont="1" applyFill="1" applyBorder="1" applyAlignment="1">
      <alignment horizontal="center"/>
    </xf>
    <xf numFmtId="164" fontId="14" fillId="5" borderId="18" xfId="0" applyNumberFormat="1" applyFont="1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4" xfId="0" applyNumberFormat="1" applyFont="1" applyBorder="1" applyAlignment="1">
      <alignment horizontal="center"/>
    </xf>
    <xf numFmtId="164" fontId="14" fillId="0" borderId="15" xfId="0" applyNumberFormat="1" applyFont="1" applyBorder="1" applyAlignment="1">
      <alignment horizontal="center"/>
    </xf>
    <xf numFmtId="164" fontId="14" fillId="0" borderId="16" xfId="0" applyNumberFormat="1" applyFont="1" applyBorder="1" applyAlignment="1">
      <alignment horizontal="center"/>
    </xf>
    <xf numFmtId="164" fontId="14" fillId="0" borderId="17" xfId="0" applyNumberFormat="1" applyFont="1" applyBorder="1" applyAlignment="1">
      <alignment horizontal="center"/>
    </xf>
    <xf numFmtId="164" fontId="14" fillId="0" borderId="18" xfId="0" applyNumberFormat="1" applyFont="1" applyBorder="1" applyAlignment="1">
      <alignment horizontal="center"/>
    </xf>
    <xf numFmtId="164" fontId="14" fillId="9" borderId="13" xfId="0" applyNumberFormat="1" applyFont="1" applyFill="1" applyBorder="1" applyAlignment="1">
      <alignment horizontal="center"/>
    </xf>
    <xf numFmtId="164" fontId="14" fillId="9" borderId="14" xfId="0" applyNumberFormat="1" applyFont="1" applyFill="1" applyBorder="1" applyAlignment="1">
      <alignment horizontal="center"/>
    </xf>
    <xf numFmtId="164" fontId="14" fillId="9" borderId="15" xfId="0" applyNumberFormat="1" applyFont="1" applyFill="1" applyBorder="1" applyAlignment="1">
      <alignment horizontal="center"/>
    </xf>
    <xf numFmtId="164" fontId="14" fillId="9" borderId="16" xfId="0" applyNumberFormat="1" applyFont="1" applyFill="1" applyBorder="1" applyAlignment="1">
      <alignment horizontal="center"/>
    </xf>
    <xf numFmtId="164" fontId="14" fillId="9" borderId="17" xfId="0" applyNumberFormat="1" applyFont="1" applyFill="1" applyBorder="1" applyAlignment="1">
      <alignment horizontal="center"/>
    </xf>
    <xf numFmtId="164" fontId="14" fillId="9" borderId="18" xfId="0" applyNumberFormat="1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32" fillId="11" borderId="0" xfId="0" applyFont="1" applyFill="1" applyAlignment="1">
      <alignment horizontal="center" vertical="center"/>
    </xf>
    <xf numFmtId="0" fontId="29" fillId="0" borderId="1" xfId="0" applyFont="1" applyBorder="1" applyAlignment="1">
      <alignment horizontal="center" vertical="center"/>
    </xf>
  </cellXfs>
  <cellStyles count="1">
    <cellStyle name="Normal" xfId="0" builtinId="0"/>
  </cellStyles>
  <dxfs count="77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general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164" formatCode="&quot;$&quot;#,##0.00"/>
    </dxf>
    <dxf>
      <numFmt numFmtId="164" formatCode="&quot;$&quot;#,##0.00"/>
    </dxf>
    <dxf>
      <numFmt numFmtId="166" formatCode="&quot;$&quot;#,##0.000"/>
    </dxf>
    <dxf>
      <numFmt numFmtId="166" formatCode="&quot;$&quot;#,##0.000"/>
    </dxf>
    <dxf>
      <numFmt numFmtId="166" formatCode="&quot;$&quot;#,##0.000"/>
    </dxf>
    <dxf>
      <numFmt numFmtId="166" formatCode="&quot;$&quot;#,##0.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4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pivotCacheDefinition" Target="pivotCache/pivotCacheDefinition2.xml"/><Relationship Id="rId45" Type="http://schemas.openxmlformats.org/officeDocument/2006/relationships/pivotCacheDefinition" Target="pivotCache/pivotCacheDefinition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5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</xdr:colOff>
      <xdr:row>0</xdr:row>
      <xdr:rowOff>63698</xdr:rowOff>
    </xdr:from>
    <xdr:to>
      <xdr:col>3</xdr:col>
      <xdr:colOff>209550</xdr:colOff>
      <xdr:row>5</xdr:row>
      <xdr:rowOff>66674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2AE1BE8-5E46-4DB3-86C2-981738298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" y="63698"/>
          <a:ext cx="1433513" cy="9650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49953</xdr:colOff>
      <xdr:row>0</xdr:row>
      <xdr:rowOff>104775</xdr:rowOff>
    </xdr:from>
    <xdr:to>
      <xdr:col>3</xdr:col>
      <xdr:colOff>146097</xdr:colOff>
      <xdr:row>5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4BBF55-9B6B-4965-9983-3A858CCB4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53" y="104775"/>
          <a:ext cx="1372494" cy="923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3</xdr:col>
      <xdr:colOff>160247</xdr:colOff>
      <xdr:row>5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B48228-A581-4442-B55E-07ED1196A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76200"/>
          <a:ext cx="1408022" cy="952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23811</xdr:colOff>
      <xdr:row>0</xdr:row>
      <xdr:rowOff>164306</xdr:rowOff>
    </xdr:from>
    <xdr:to>
      <xdr:col>3</xdr:col>
      <xdr:colOff>88118</xdr:colOff>
      <xdr:row>5</xdr:row>
      <xdr:rowOff>104774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5A628E7-0FB5-4764-AB97-FBA70DC5C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1" y="164306"/>
          <a:ext cx="1340657" cy="90249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95251</xdr:rowOff>
    </xdr:from>
    <xdr:to>
      <xdr:col>3</xdr:col>
      <xdr:colOff>150188</xdr:colOff>
      <xdr:row>5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9A2228-D018-4B9D-AB81-F68C30420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95251"/>
          <a:ext cx="1369388" cy="9810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109537</xdr:colOff>
      <xdr:row>0</xdr:row>
      <xdr:rowOff>50007</xdr:rowOff>
    </xdr:from>
    <xdr:to>
      <xdr:col>3</xdr:col>
      <xdr:colOff>183921</xdr:colOff>
      <xdr:row>4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C21050-CB03-4DA8-9467-E47D5C470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" y="50007"/>
          <a:ext cx="1284059" cy="86439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</xdr:colOff>
      <xdr:row>0</xdr:row>
      <xdr:rowOff>154782</xdr:rowOff>
    </xdr:from>
    <xdr:to>
      <xdr:col>3</xdr:col>
      <xdr:colOff>104775</xdr:colOff>
      <xdr:row>5</xdr:row>
      <xdr:rowOff>23107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A27F69-4F60-486D-9D09-B43B378B8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" y="154782"/>
          <a:ext cx="1233488" cy="8303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</xdr:colOff>
      <xdr:row>0</xdr:row>
      <xdr:rowOff>97633</xdr:rowOff>
    </xdr:from>
    <xdr:to>
      <xdr:col>3</xdr:col>
      <xdr:colOff>180975</xdr:colOff>
      <xdr:row>5</xdr:row>
      <xdr:rowOff>4430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CE7B4DB-C693-4BD3-A64D-4D4369E44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" y="97633"/>
          <a:ext cx="1290638" cy="86882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88107</xdr:rowOff>
    </xdr:from>
    <xdr:to>
      <xdr:col>3</xdr:col>
      <xdr:colOff>122561</xdr:colOff>
      <xdr:row>4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CB941D5-2A80-4FB7-8D79-3EA4B75FB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88107"/>
          <a:ext cx="1227461" cy="82629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15118</xdr:colOff>
      <xdr:row>0</xdr:row>
      <xdr:rowOff>76201</xdr:rowOff>
    </xdr:from>
    <xdr:to>
      <xdr:col>3</xdr:col>
      <xdr:colOff>149637</xdr:colOff>
      <xdr:row>5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B721F0-ECB5-435F-AA2E-138074DE5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793" y="76201"/>
          <a:ext cx="1344194" cy="9048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</xdr:colOff>
      <xdr:row>0</xdr:row>
      <xdr:rowOff>57151</xdr:rowOff>
    </xdr:from>
    <xdr:to>
      <xdr:col>3</xdr:col>
      <xdr:colOff>72882</xdr:colOff>
      <xdr:row>4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39135F-4FF0-4E70-B323-65D4438C4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" y="57151"/>
          <a:ext cx="1315895" cy="88582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105097</xdr:rowOff>
    </xdr:from>
    <xdr:to>
      <xdr:col>3</xdr:col>
      <xdr:colOff>138113</xdr:colOff>
      <xdr:row>5</xdr:row>
      <xdr:rowOff>95249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97A572-4886-4102-AB14-23EB0C654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5097"/>
          <a:ext cx="1414463" cy="95217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</xdr:colOff>
      <xdr:row>0</xdr:row>
      <xdr:rowOff>97632</xdr:rowOff>
    </xdr:from>
    <xdr:to>
      <xdr:col>3</xdr:col>
      <xdr:colOff>70174</xdr:colOff>
      <xdr:row>4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F1EEB8-6B8C-4388-8907-B2ECBFC9D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" y="97632"/>
          <a:ext cx="1227462" cy="82629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</xdr:colOff>
      <xdr:row>0</xdr:row>
      <xdr:rowOff>97632</xdr:rowOff>
    </xdr:from>
    <xdr:to>
      <xdr:col>3</xdr:col>
      <xdr:colOff>159418</xdr:colOff>
      <xdr:row>5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C92278-1C09-48D9-8BFE-60031D915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" y="97632"/>
          <a:ext cx="1354806" cy="91201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88974</xdr:rowOff>
    </xdr:from>
    <xdr:to>
      <xdr:col>3</xdr:col>
      <xdr:colOff>128588</xdr:colOff>
      <xdr:row>5</xdr:row>
      <xdr:rowOff>72714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035AD4D-C3F0-41E6-BB51-A87EC9716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8974"/>
          <a:ext cx="1404938" cy="94576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</xdr:colOff>
      <xdr:row>0</xdr:row>
      <xdr:rowOff>107157</xdr:rowOff>
    </xdr:from>
    <xdr:to>
      <xdr:col>3</xdr:col>
      <xdr:colOff>69897</xdr:colOff>
      <xdr:row>4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4E16D1-941E-4832-B813-31DBC717A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" y="107157"/>
          <a:ext cx="1255760" cy="84534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90488</xdr:colOff>
      <xdr:row>0</xdr:row>
      <xdr:rowOff>98871</xdr:rowOff>
    </xdr:from>
    <xdr:to>
      <xdr:col>3</xdr:col>
      <xdr:colOff>228601</xdr:colOff>
      <xdr:row>5</xdr:row>
      <xdr:rowOff>44139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6A97D3F-811E-4DBC-B8ED-6B927E402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3" y="98871"/>
          <a:ext cx="1347788" cy="90729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</xdr:colOff>
      <xdr:row>0</xdr:row>
      <xdr:rowOff>75965</xdr:rowOff>
    </xdr:from>
    <xdr:to>
      <xdr:col>3</xdr:col>
      <xdr:colOff>57150</xdr:colOff>
      <xdr:row>4</xdr:row>
      <xdr:rowOff>173262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0C5259-2052-4289-A9FA-2C834E0D6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" y="75965"/>
          <a:ext cx="1290638" cy="86882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</xdr:colOff>
      <xdr:row>0</xdr:row>
      <xdr:rowOff>69057</xdr:rowOff>
    </xdr:from>
    <xdr:to>
      <xdr:col>3</xdr:col>
      <xdr:colOff>200025</xdr:colOff>
      <xdr:row>5</xdr:row>
      <xdr:rowOff>27149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D7D62D-11A6-40EF-9043-25C33E818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" y="69057"/>
          <a:ext cx="1366838" cy="92011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119062</xdr:colOff>
      <xdr:row>0</xdr:row>
      <xdr:rowOff>107157</xdr:rowOff>
    </xdr:from>
    <xdr:to>
      <xdr:col>3</xdr:col>
      <xdr:colOff>122699</xdr:colOff>
      <xdr:row>4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A9E33B-5441-42A9-AB01-941B7E441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" y="107157"/>
          <a:ext cx="1213312" cy="81676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109537</xdr:colOff>
      <xdr:row>0</xdr:row>
      <xdr:rowOff>50007</xdr:rowOff>
    </xdr:from>
    <xdr:to>
      <xdr:col>3</xdr:col>
      <xdr:colOff>200025</xdr:colOff>
      <xdr:row>4</xdr:row>
      <xdr:rowOff>153716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7738B2C-BAB0-466D-A27F-E5ACD8236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" y="50007"/>
          <a:ext cx="1300163" cy="87523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</xdr:colOff>
      <xdr:row>0</xdr:row>
      <xdr:rowOff>50008</xdr:rowOff>
    </xdr:from>
    <xdr:to>
      <xdr:col>3</xdr:col>
      <xdr:colOff>409759</xdr:colOff>
      <xdr:row>5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0623BC-DEDA-4955-96E1-4D0FAFDDC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" y="50008"/>
          <a:ext cx="1567047" cy="105489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</xdr:colOff>
      <xdr:row>0</xdr:row>
      <xdr:rowOff>50008</xdr:rowOff>
    </xdr:from>
    <xdr:to>
      <xdr:col>3</xdr:col>
      <xdr:colOff>395610</xdr:colOff>
      <xdr:row>5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5698AB-FCC3-42AD-9BFA-703F5483D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" y="50008"/>
          <a:ext cx="1552898" cy="1045368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42863</xdr:colOff>
      <xdr:row>0</xdr:row>
      <xdr:rowOff>50007</xdr:rowOff>
    </xdr:from>
    <xdr:to>
      <xdr:col>3</xdr:col>
      <xdr:colOff>304801</xdr:colOff>
      <xdr:row>5</xdr:row>
      <xdr:rowOff>72219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73D8F12-3D48-4905-B240-318698504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8" y="50007"/>
          <a:ext cx="1462088" cy="98423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42861</xdr:colOff>
      <xdr:row>0</xdr:row>
      <xdr:rowOff>50007</xdr:rowOff>
    </xdr:from>
    <xdr:to>
      <xdr:col>3</xdr:col>
      <xdr:colOff>480506</xdr:colOff>
      <xdr:row>5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F300AF-F970-4134-BB5F-98685DD38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861" y="50007"/>
          <a:ext cx="1637795" cy="1102518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</xdr:colOff>
      <xdr:row>0</xdr:row>
      <xdr:rowOff>50007</xdr:rowOff>
    </xdr:from>
    <xdr:to>
      <xdr:col>3</xdr:col>
      <xdr:colOff>476250</xdr:colOff>
      <xdr:row>5</xdr:row>
      <xdr:rowOff>187635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8F4D89-C494-49E0-8E90-9948C8461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862" y="50007"/>
          <a:ext cx="1633538" cy="109965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m" refreshedDate="44576.39564166667" createdVersion="6" refreshedVersion="7" minRefreshableVersion="3" recordCount="26" xr:uid="{00000000-000A-0000-FFFF-FFFF49000000}">
  <cacheSource type="worksheet">
    <worksheetSource ref="A3:AC29" sheet="IMSS3"/>
  </cacheSource>
  <cacheFields count="29">
    <cacheField name="No." numFmtId="1">
      <sharedItems containsString="0" containsBlank="1" containsNumber="1" containsInteger="1" minValue="1" maxValue="24" count="2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m/>
      </sharedItems>
    </cacheField>
    <cacheField name="Producto" numFmtId="0">
      <sharedItems containsBlank="1" count="28">
        <s v="CHULETA DE CERDO"/>
        <s v="LOMO DE CERDO"/>
        <s v="PIERNA DE CERDO EN TROZO"/>
        <s v="PIERNA DE CERDO MOLIDA"/>
        <s v="MERO EN FILETE CONGELADO"/>
        <s v="PECHUGA DE POLLO "/>
        <s v="PECHUGA DE POLLO DESHUESADA"/>
        <s v="PECHUGA  DESHUESADA EN BISTEC"/>
        <s v="PECHUGA DE POLLO  MÓLIDA"/>
        <s v="PIERNA Y MUSLO DE POLLO SIN PIEL EN FORMA DE PISTOLA"/>
        <s v="POLLO ENTERO"/>
        <s v="BISTEC DE PIERNA DE RES"/>
        <s v="CHAMBARETE DE RES"/>
        <s v="CUETE DE PIERNA DE RES"/>
        <s v="FALDA DE RES"/>
        <s v="PULPA DE RES EN TROZO"/>
        <s v="PULPA DE RES MOLIDA"/>
        <s v="HUEVO ENTERO"/>
        <s v="JAMÓN DE CERDO FINO CON 16% DE PROTEÍNA"/>
        <s v="JAMÓN DE PAVO"/>
        <s v="JAMÓN DE PECHUGA DE PAVO"/>
        <s v="MORTADELA"/>
        <s v="SALCHICHA DE CERDO VIENA"/>
        <s v="SALCHICHA DE PAVO VIENA"/>
        <s v="TOCINO"/>
        <m/>
        <s v="MERO" u="1"/>
        <s v="PIERNA Y MUSLO DE POLLO" u="1"/>
      </sharedItems>
    </cacheField>
    <cacheField name="Martes" numFmtId="0">
      <sharedItems containsString="0" containsBlank="1" containsNumber="1" minValue="0" maxValue="43.4" count="169">
        <n v="0"/>
        <n v="8.15"/>
        <n v="1.35"/>
        <n v="12.45"/>
        <n v="9"/>
        <n v="5.85"/>
        <n v="14"/>
        <n v="3.6"/>
        <n v="0.9"/>
        <n v="0.4"/>
        <m/>
        <n v="12.5" u="1"/>
        <n v="4.3" u="1"/>
        <n v="4.5" u="1"/>
        <n v="4.7" u="1"/>
        <n v="12.6" u="1"/>
        <n v="22.3" u="1"/>
        <n v="13" u="1"/>
        <n v="20.100000000000001" u="1"/>
        <n v="36" u="1"/>
        <n v="0.6" u="1"/>
        <n v="1.6" u="1"/>
        <n v="1.7" u="1"/>
        <n v="4.5999999999999996" u="1"/>
        <n v="13.5" u="1"/>
        <n v="13.9" u="1"/>
        <n v="1.8" u="1"/>
        <n v="13.2" u="1"/>
        <n v="5" u="1"/>
        <n v="14.4" u="1"/>
        <n v="13.7" u="1"/>
        <n v="14.1" u="1"/>
        <n v="4.9000000000000004" u="1"/>
        <n v="23.1" u="1"/>
        <n v="5.3" u="1"/>
        <n v="5.5" u="1"/>
        <n v="5.7" u="1"/>
        <n v="26.3" u="1"/>
        <n v="15" u="1"/>
        <n v="0.7" u="1"/>
        <n v="14.3" u="1"/>
        <n v="5.4" u="1"/>
        <n v="5.6" u="1"/>
        <n v="15.5" u="1"/>
        <n v="15.9" u="1"/>
        <n v="25.1" u="1"/>
        <n v="35.1" u="1"/>
        <n v="2" u="1"/>
        <n v="2.1" u="1"/>
        <n v="14.8" u="1"/>
        <n v="15.2" u="1"/>
        <n v="6" u="1"/>
        <n v="6.2" u="1"/>
        <n v="15.6" u="1"/>
        <n v="16.8" u="1"/>
        <n v="15.3" u="1"/>
        <n v="16.2" u="1"/>
        <n v="5.9" u="1"/>
        <n v="6.1" u="1"/>
        <n v="17" u="1"/>
        <n v="37.5" u="1"/>
        <n v="15.8" u="1"/>
        <n v="16.399999999999999" u="1"/>
        <n v="6.5" u="1"/>
        <n v="37.9" u="1"/>
        <n v="18" u="1"/>
        <n v="18.8" u="1"/>
        <n v="0.3" u="1"/>
        <n v="0.8" u="1"/>
        <n v="38.299999999999997" u="1"/>
        <n v="2.2000000000000002" u="1"/>
        <n v="2.4" u="1"/>
        <n v="6.4" u="1"/>
        <n v="6.6" u="1"/>
        <n v="19" u="1"/>
        <n v="19.8" u="1"/>
        <n v="2.5" u="1"/>
        <n v="2.6" u="1"/>
        <n v="6.8" u="1"/>
        <n v="18.399999999999999" u="1"/>
        <n v="7" u="1"/>
        <n v="7.2" u="1"/>
        <n v="19.2" u="1"/>
        <n v="20" u="1"/>
        <n v="18.600000000000001" u="1"/>
        <n v="20.2" u="1"/>
        <n v="33" u="1"/>
        <n v="21" u="1"/>
        <n v="7.3" u="1"/>
        <n v="20.399999999999999" u="1"/>
        <n v="7.5" u="1"/>
        <n v="7.7" u="1"/>
        <n v="22" u="1"/>
        <n v="22.8" u="1"/>
        <n v="20.6" u="1"/>
        <n v="2.8" u="1"/>
        <n v="1" u="1"/>
        <n v="2.9" u="1"/>
        <n v="7.6" u="1"/>
        <n v="23.8" u="1"/>
        <n v="3" u="1"/>
        <n v="7.8" u="1"/>
        <n v="21.6" u="1"/>
        <n v="37.4" u="1"/>
        <n v="8" u="1"/>
        <n v="8.4" u="1"/>
        <n v="24" u="1"/>
        <n v="0.84" u="1"/>
        <n v="8.1" u="1"/>
        <n v="22.6" u="1"/>
        <n v="8.5" u="1"/>
        <n v="8.9" u="1"/>
        <n v="24.2" u="1"/>
        <n v="7.9" u="1"/>
        <n v="8.6" u="1"/>
        <n v="9.4" u="1"/>
        <n v="8.3000000000000007" u="1"/>
        <n v="26" u="1"/>
        <n v="1.1000000000000001" u="1"/>
        <n v="9.1" u="1"/>
        <n v="43.4" u="1"/>
        <n v="1.2" u="1"/>
        <n v="3.2" u="1"/>
        <n v="9.5" u="1"/>
        <n v="9.9" u="1"/>
        <n v="1.3" u="1"/>
        <n v="3.4" u="1"/>
        <n v="27" u="1"/>
        <n v="3.5" u="1"/>
        <n v="9.6" u="1"/>
        <n v="10" u="1"/>
        <n v="10.4" u="1"/>
        <n v="9.3000000000000007" u="1"/>
        <n v="9.6999999999999993" u="1"/>
        <n v="16.5" u="1"/>
        <n v="17.3" u="1"/>
        <n v="38.1" u="1"/>
        <n v="9.8000000000000007" u="1"/>
        <n v="10.199999999999999" u="1"/>
        <n v="10.6" u="1"/>
        <n v="40.1" u="1"/>
        <n v="11" u="1"/>
        <n v="16.100000000000001" u="1"/>
        <n v="16.899999999999999" u="1"/>
        <n v="10.3" u="1"/>
        <n v="10.7" u="1"/>
        <n v="30" u="1"/>
        <n v="1.4" u="1"/>
        <n v="0.5" u="1"/>
        <n v="3.8" u="1"/>
        <n v="11.5" u="1"/>
        <n v="17.100000000000001" u="1"/>
        <n v="1.5" u="1"/>
        <n v="3.9" u="1"/>
        <n v="10.8" u="1"/>
        <n v="18.7" u="1"/>
        <n v="31" u="1"/>
        <n v="4" u="1"/>
        <n v="4.2" u="1"/>
        <n v="11.6" u="1"/>
        <n v="19.5" u="1"/>
        <n v="29.6" u="1"/>
        <n v="12" u="1"/>
        <n v="12.4" u="1"/>
        <n v="18.899999999999999" u="1"/>
        <n v="11.3" u="1"/>
        <n v="11.7" u="1"/>
        <n v="19.7" u="1"/>
        <n v="33.6" u="1"/>
      </sharedItems>
    </cacheField>
    <cacheField name="Miercoles" numFmtId="0">
      <sharedItems containsString="0" containsBlank="1" containsNumber="1" minValue="0" maxValue="47.6" count="167">
        <n v="0"/>
        <n v="17.5"/>
        <n v="2.7"/>
        <n v="15.75"/>
        <n v="9.6"/>
        <n v="0.97"/>
        <n v="1"/>
        <n v="3.9"/>
        <m/>
        <n v="12.5" u="1"/>
        <n v="12.9" u="1"/>
        <n v="19.100000000000001" u="1"/>
        <n v="19.899999999999999" u="1"/>
        <n v="43.3" u="1"/>
        <n v="4.3" u="1"/>
        <n v="11.8" u="1"/>
        <n v="4.5" u="1"/>
        <n v="4.7" u="1"/>
        <n v="22.3" u="1"/>
        <n v="13" u="1"/>
        <n v="20.100000000000001" u="1"/>
        <n v="12.7" u="1"/>
        <n v="36" u="1"/>
        <n v="0.6" u="1"/>
        <n v="1.6" u="1"/>
        <n v="13.1" u="1"/>
        <n v="23.3" u="1"/>
        <n v="1.7" u="1"/>
        <n v="4.4000000000000004" u="1"/>
        <n v="4.5999999999999996" u="1"/>
        <n v="13.5" u="1"/>
        <n v="1.8" u="1"/>
        <n v="13.2" u="1"/>
        <n v="22.7" u="1"/>
        <n v="5" u="1"/>
        <n v="35.200000000000003" u="1"/>
        <n v="14" u="1"/>
        <n v="14.4" u="1"/>
        <n v="22.1" u="1"/>
        <n v="13.3" u="1"/>
        <n v="13.7" u="1"/>
        <n v="5.3" u="1"/>
        <n v="5.5" u="1"/>
        <n v="5.7" u="1"/>
        <n v="26.3" u="1"/>
        <n v="15" u="1"/>
        <n v="15.4" u="1"/>
        <n v="0.7" u="1"/>
        <n v="5.4" u="1"/>
        <n v="5.6" u="1"/>
        <n v="15.5" u="1"/>
        <n v="2" u="1"/>
        <n v="2.1" u="1"/>
        <n v="5.8" u="1"/>
        <n v="15.2" u="1"/>
        <n v="47.6" u="1"/>
        <n v="6" u="1"/>
        <n v="6.2" u="1"/>
        <n v="15.6" u="1"/>
        <n v="16" u="1"/>
        <n v="16.8" u="1"/>
        <n v="16.2" u="1"/>
        <n v="28.5" u="1"/>
        <n v="5.9" u="1"/>
        <n v="17" u="1"/>
        <n v="6.3" u="1"/>
        <n v="16.399999999999999" u="1"/>
        <n v="6.5" u="1"/>
        <n v="6.7" u="1"/>
        <n v="17.2" u="1"/>
        <n v="37.9" u="1"/>
        <n v="18" u="1"/>
        <n v="0.8" u="1"/>
        <n v="2.2000000000000002" u="1"/>
        <n v="2.2999999999999998" u="1"/>
        <n v="6.75" u="1"/>
        <n v="0.9" u="1"/>
        <n v="2.4" u="1"/>
        <n v="6.4" u="1"/>
        <n v="19" u="1"/>
        <n v="19.8" u="1"/>
        <n v="2.5" u="1"/>
        <n v="2.6" u="1"/>
        <n v="6.8" u="1"/>
        <n v="17.600000000000001" u="1"/>
        <n v="18.399999999999999" u="1"/>
        <n v="7" u="1"/>
        <n v="7.2" u="1"/>
        <n v="19.2" u="1"/>
        <n v="20" u="1"/>
        <n v="30.9" u="1"/>
        <n v="18.600000000000001" u="1"/>
        <n v="33" u="1"/>
        <n v="7.1" u="1"/>
        <n v="19.600000000000001" u="1"/>
        <n v="7.5" u="1"/>
        <n v="7.7" u="1"/>
        <n v="22" u="1"/>
        <n v="20.6" u="1"/>
        <n v="8.5299999999999994" u="1"/>
        <n v="2.9" u="1"/>
        <n v="5.39" u="1"/>
        <n v="7.4" u="1"/>
        <n v="7.6" u="1"/>
        <n v="23.8" u="1"/>
        <n v="3" u="1"/>
        <n v="21.6" u="1"/>
        <n v="37.4" u="1"/>
        <n v="8" u="1"/>
        <n v="8.4" u="1"/>
        <n v="24" u="1"/>
        <n v="36.200000000000003" u="1"/>
        <n v="8.1" u="1"/>
        <n v="22.6" u="1"/>
        <n v="8.5" u="1"/>
        <n v="8.9" u="1"/>
        <n v="42.6" u="1"/>
        <n v="7.9" u="1"/>
        <n v="25" u="1"/>
        <n v="8.6" u="1"/>
        <n v="9" u="1"/>
        <n v="9.4" u="1"/>
        <n v="0.4" u="1"/>
        <n v="8.6999999999999993" u="1"/>
        <n v="1.1000000000000001" u="1"/>
        <n v="24.6" u="1"/>
        <n v="25.4" u="1"/>
        <n v="3.2" u="1"/>
        <n v="9.5" u="1"/>
        <n v="9.9" u="1"/>
        <n v="1.3" u="1"/>
        <n v="8.8000000000000007" u="1"/>
        <n v="27" u="1"/>
        <n v="3.5" u="1"/>
        <n v="3.6" u="1"/>
        <n v="10" u="1"/>
        <n v="10.4" u="1"/>
        <n v="28" u="1"/>
        <n v="17.3" u="1"/>
        <n v="38.1" u="1"/>
        <n v="10.5" u="1"/>
        <n v="9.8000000000000007" u="1"/>
        <n v="10.6" u="1"/>
        <n v="11" u="1"/>
        <n v="11.4" u="1"/>
        <n v="16.100000000000001" u="1"/>
        <n v="10.3" u="1"/>
        <n v="10.7" u="1"/>
        <n v="17.7" u="1"/>
        <n v="30.8" u="1"/>
        <n v="1.35" u="1"/>
        <n v="1.4" u="1"/>
        <n v="11.1" u="1"/>
        <n v="0.5" u="1"/>
        <n v="3.8" u="1"/>
        <n v="11.5" u="1"/>
        <n v="17.100000000000001" u="1"/>
        <n v="1.5" u="1"/>
        <n v="10.8" u="1"/>
        <n v="18.7" u="1"/>
        <n v="4" u="1"/>
        <n v="19.5" u="1"/>
        <n v="12" u="1"/>
        <n v="18.100000000000001" u="1"/>
        <n v="18.899999999999999" u="1"/>
        <n v="11.3" u="1"/>
        <n v="11.7" u="1"/>
      </sharedItems>
    </cacheField>
    <cacheField name="Jueves " numFmtId="0">
      <sharedItems containsString="0" containsBlank="1" containsNumber="1" minValue="0" maxValue="40.299999999999997" count="164">
        <n v="0"/>
        <n v="9"/>
        <n v="1.1000000000000001"/>
        <n v="9.27"/>
        <n v="6"/>
        <n v="7.5"/>
        <n v="17"/>
        <n v="0.21"/>
        <n v="1.8"/>
        <n v="4.2"/>
        <n v="0.6"/>
        <m/>
        <n v="12.1" u="1"/>
        <n v="20.5" u="1"/>
        <n v="12.5" u="1"/>
        <n v="19.100000000000001" u="1"/>
        <n v="19.899999999999999" u="1"/>
        <n v="4.3" u="1"/>
        <n v="35.6" u="1"/>
        <n v="4.5" u="1"/>
        <n v="22.3" u="1"/>
        <n v="13" u="1"/>
        <n v="20.100000000000001" u="1"/>
        <n v="1.6" u="1"/>
        <n v="13.1" u="1"/>
        <n v="23.3" u="1"/>
        <n v="1.7" u="1"/>
        <n v="4.4000000000000004" u="1"/>
        <n v="13.5" u="1"/>
        <n v="21.1" u="1"/>
        <n v="13.2" u="1"/>
        <n v="22.7" u="1"/>
        <n v="38" u="1"/>
        <n v="5" u="1"/>
        <n v="5.2" u="1"/>
        <n v="23.5" u="1"/>
        <n v="35.200000000000003" u="1"/>
        <n v="14" u="1"/>
        <n v="14.4" u="1"/>
        <n v="13.3" u="1"/>
        <n v="13.7" u="1"/>
        <n v="14.1" u="1"/>
        <n v="4.9000000000000004" u="1"/>
        <n v="23.9" u="1"/>
        <n v="5.3" u="1"/>
        <n v="5.5" u="1"/>
        <n v="5.7" u="1"/>
        <n v="14.6" u="1"/>
        <n v="26.3" u="1"/>
        <n v="2.19" u="1"/>
        <n v="15" u="1"/>
        <n v="24.1" u="1"/>
        <n v="0.7" u="1"/>
        <n v="15.1" u="1"/>
        <n v="0.75" u="1"/>
        <n v="5.4" u="1"/>
        <n v="15.5" u="1"/>
        <n v="35.1" u="1"/>
        <n v="2" u="1"/>
        <n v="5.8" u="1"/>
        <n v="15.2" u="1"/>
        <n v="6.2" u="1"/>
        <n v="15.6" u="1"/>
        <n v="16.8" u="1"/>
        <n v="2.0499999999999998" u="1"/>
        <n v="16.2" u="1"/>
        <n v="6.1" u="1"/>
        <n v="15.8" u="1"/>
        <n v="16.399999999999999" u="1"/>
        <n v="6.5" u="1"/>
        <n v="18" u="1"/>
        <n v="28.1" u="1"/>
        <n v="0.8" u="1"/>
        <n v="11.25" u="1"/>
        <n v="16.600000000000001" u="1"/>
        <n v="2.2000000000000002" u="1"/>
        <n v="2.2999999999999998" u="1"/>
        <n v="18.2" u="1"/>
        <n v="0.9" u="1"/>
        <n v="2.4" u="1"/>
        <n v="6.4" u="1"/>
        <n v="6.6" u="1"/>
        <n v="19" u="1"/>
        <n v="19.8" u="1"/>
        <n v="2.5" u="1"/>
        <n v="2.6" u="1"/>
        <n v="6.8" u="1"/>
        <n v="17.600000000000001" u="1"/>
        <n v="40.299999999999997" u="1"/>
        <n v="7" u="1"/>
        <n v="7.2" u="1"/>
        <n v="19.2" u="1"/>
        <n v="20" u="1"/>
        <n v="30.9" u="1"/>
        <n v="18.600000000000001" u="1"/>
        <n v="6.9" u="1"/>
        <n v="21" u="1"/>
        <n v="19.600000000000001" u="1"/>
        <n v="22" u="1"/>
        <n v="20.6" u="1"/>
        <n v="22.2" u="1"/>
        <n v="1" u="1"/>
        <n v="2.9" u="1"/>
        <n v="7.4" u="1"/>
        <n v="7.6" u="1"/>
        <n v="23" u="1"/>
        <n v="3" u="1"/>
        <n v="21.6" u="1"/>
        <n v="22.4" u="1"/>
        <n v="8" u="1"/>
        <n v="8.4" u="1"/>
        <n v="24" u="1"/>
        <n v="8.1" u="1"/>
        <n v="22.6" u="1"/>
        <n v="8.5" u="1"/>
        <n v="8.9" u="1"/>
        <n v="7.9" u="1"/>
        <n v="3.25" u="1"/>
        <n v="8.6" u="1"/>
        <n v="9.4" u="1"/>
        <n v="0.4" u="1"/>
        <n v="25.4" u="1"/>
        <n v="1.2" u="1"/>
        <n v="3.2" u="1"/>
        <n v="3.3" u="1"/>
        <n v="9.5" u="1"/>
        <n v="9.9" u="1"/>
        <n v="1.3" u="1"/>
        <n v="8.8000000000000007" u="1"/>
        <n v="9.1999999999999993" u="1"/>
        <n v="27" u="1"/>
        <n v="3.5" u="1"/>
        <n v="3.6" u="1"/>
        <n v="9.6" u="1"/>
        <n v="10" u="1"/>
        <n v="10.4" u="1"/>
        <n v="28.8" u="1"/>
        <n v="10.1" u="1"/>
        <n v="16.5" u="1"/>
        <n v="17.3" u="1"/>
        <n v="26.6" u="1"/>
        <n v="38.1" u="1"/>
        <n v="9.8000000000000007" u="1"/>
        <n v="16.7" u="1"/>
        <n v="10.6" u="1"/>
        <n v="11" u="1"/>
        <n v="16.100000000000001" u="1"/>
        <n v="10.3" u="1"/>
        <n v="10.7" u="1"/>
        <n v="1.35" u="1"/>
        <n v="1.4" u="1"/>
        <n v="0.5" u="1"/>
        <n v="3.8" u="1"/>
        <n v="17.100000000000001" u="1"/>
        <n v="1.5" u="1"/>
        <n v="10.8" u="1"/>
        <n v="18.7" u="1"/>
        <n v="31.8" u="1"/>
        <n v="4" u="1"/>
        <n v="11.6" u="1"/>
        <n v="19.5" u="1"/>
        <n v="12" u="1"/>
        <n v="11.3" u="1"/>
        <n v="11.7" u="1"/>
      </sharedItems>
    </cacheField>
    <cacheField name="Viernes" numFmtId="0">
      <sharedItems containsString="0" containsBlank="1" containsNumber="1" minValue="0" maxValue="41.1" count="168">
        <n v="0"/>
        <n v="7.2"/>
        <n v="12.3"/>
        <n v="1.35"/>
        <n v="9.75"/>
        <n v="14.7"/>
        <n v="1.4"/>
        <n v="5"/>
        <n v="3.6"/>
        <m/>
        <n v="4.0999999999999996" u="1"/>
        <n v="12.5" u="1"/>
        <n v="4.5" u="1"/>
        <n v="4.7" u="1"/>
        <n v="12.6" u="1"/>
        <n v="22.3" u="1"/>
        <n v="31.6" u="1"/>
        <n v="13" u="1"/>
        <n v="20.100000000000001" u="1"/>
        <n v="0.6" u="1"/>
        <n v="1.6" u="1"/>
        <n v="13.1" u="1"/>
        <n v="23.3" u="1"/>
        <n v="1.7" u="1"/>
        <n v="4.4000000000000004" u="1"/>
        <n v="4.5999999999999996" u="1"/>
        <n v="13.5" u="1"/>
        <n v="1.8" u="1"/>
        <n v="4.8" u="1"/>
        <n v="13.2" u="1"/>
        <n v="14" u="1"/>
        <n v="14.4" u="1"/>
        <n v="22.9" u="1"/>
        <n v="13.7" u="1"/>
        <n v="24.5" u="1"/>
        <n v="4.9000000000000004" u="1"/>
        <n v="23.9" u="1"/>
        <n v="5.3" u="1"/>
        <n v="13.8" u="1"/>
        <n v="14.2" u="1"/>
        <n v="5.5" u="1"/>
        <n v="5.7" u="1"/>
        <n v="15" u="1"/>
        <n v="15.4" u="1"/>
        <n v="0.7" u="1"/>
        <n v="14.3" u="1"/>
        <n v="25.7" u="1"/>
        <n v="27.3" u="1"/>
        <n v="0.75" u="1"/>
        <n v="5.4" u="1"/>
        <n v="5.6" u="1"/>
        <n v="15.5" u="1"/>
        <n v="15.9" u="1"/>
        <n v="25.1" u="1"/>
        <n v="2" u="1"/>
        <n v="2.1" u="1"/>
        <n v="5.8" u="1"/>
        <n v="6" u="1"/>
        <n v="6.2" u="1"/>
        <n v="15.6" u="1"/>
        <n v="16.2" u="1"/>
        <n v="17" u="1"/>
        <n v="17.8" u="1"/>
        <n v="37.5" u="1"/>
        <n v="15.8" u="1"/>
        <n v="6.5" u="1"/>
        <n v="17.2" u="1"/>
        <n v="18" u="1"/>
        <n v="28.1" u="1"/>
        <n v="41.1" u="1"/>
        <n v="0.8" u="1"/>
        <n v="11.25" u="1"/>
        <n v="16.600000000000001" u="1"/>
        <n v="2.2000000000000002" u="1"/>
        <n v="2.2999999999999998" u="1"/>
        <n v="0.9" u="1"/>
        <n v="2.4" u="1"/>
        <n v="19" u="1"/>
        <n v="2.5" u="1"/>
        <n v="6.8" u="1"/>
        <n v="40.299999999999997" u="1"/>
        <n v="7" u="1"/>
        <n v="19.2" u="1"/>
        <n v="20" u="1"/>
        <n v="18.600000000000001" u="1"/>
        <n v="19.399999999999999" u="1"/>
        <n v="21.8" u="1"/>
        <n v="19.600000000000001" u="1"/>
        <n v="7.5" u="1"/>
        <n v="35" u="1"/>
        <n v="22" u="1"/>
        <n v="33.799999999999997" u="1"/>
        <n v="2.8" u="1"/>
        <n v="22.2" u="1"/>
        <n v="38.6" u="1"/>
        <n v="1" u="1"/>
        <n v="2.9" u="1"/>
        <n v="7.6" u="1"/>
        <n v="3" u="1"/>
        <n v="3.1" u="1"/>
        <n v="7.8" u="1"/>
        <n v="21.6" u="1"/>
        <n v="8" u="1"/>
        <n v="8.4" u="1"/>
        <n v="24" u="1"/>
        <n v="24.8" u="1"/>
        <n v="8.1" u="1"/>
        <n v="8.5" u="1"/>
        <n v="7.9" u="1"/>
        <n v="25" u="1"/>
        <n v="8.6" u="1"/>
        <n v="9" u="1"/>
        <n v="9.4" u="1"/>
        <n v="25.2" u="1"/>
        <n v="0.4" u="1"/>
        <n v="1.1000000000000001" u="1"/>
        <n v="9.1" u="1"/>
        <n v="24.6" u="1"/>
        <n v="0.45" u="1"/>
        <n v="1.2" u="1"/>
        <n v="3.2" u="1"/>
        <n v="3.3" u="1"/>
        <n v="9.9" u="1"/>
        <n v="1.3" u="1"/>
        <n v="8.8000000000000007" u="1"/>
        <n v="9.1999999999999993" u="1"/>
        <n v="27" u="1"/>
        <n v="3.5" u="1"/>
        <n v="9.6" u="1"/>
        <n v="7.0000000000000007E-2" u="1"/>
        <n v="0.88" u="1"/>
        <n v="10" u="1"/>
        <n v="10.4" u="1"/>
        <n v="33.299999999999997" u="1"/>
        <n v="9.3000000000000007" u="1"/>
        <n v="28.8" u="1"/>
        <n v="16.5" u="1"/>
        <n v="17.3" u="1"/>
        <n v="26.6" u="1"/>
        <n v="38.1" u="1"/>
        <n v="35.299999999999997" u="1"/>
        <n v="9.8000000000000007" u="1"/>
        <n v="10.6" u="1"/>
        <n v="11" u="1"/>
        <n v="11.4" u="1"/>
        <n v="16.100000000000001" u="1"/>
        <n v="10.3" u="1"/>
        <n v="10.7" u="1"/>
        <n v="17.7" u="1"/>
        <n v="11.1" u="1"/>
        <n v="0.5" u="1"/>
        <n v="3.7" u="1"/>
        <n v="3.8" u="1"/>
        <n v="11.5" u="1"/>
        <n v="17.100000000000001" u="1"/>
        <n v="39.299999999999997" u="1"/>
        <n v="1.5" u="1"/>
        <n v="10.8" u="1"/>
        <n v="11.2" u="1"/>
        <n v="18.7" u="1"/>
        <n v="31" u="1"/>
        <n v="4" u="1"/>
        <n v="11.6" u="1"/>
        <n v="19.5" u="1"/>
        <n v="20.3" u="1"/>
        <n v="12" u="1"/>
        <n v="31.2" u="1"/>
        <n v="11.3" u="1"/>
      </sharedItems>
    </cacheField>
    <cacheField name="Sabado" numFmtId="0">
      <sharedItems containsString="0" containsBlank="1" containsNumber="1" minValue="0" maxValue="48.6" count="188">
        <n v="0"/>
        <n v="7.8"/>
        <n v="19.100000000000001"/>
        <n v="9"/>
        <n v="5.4"/>
        <n v="1.02"/>
        <n v="16"/>
        <n v="1.35"/>
        <n v="1.75"/>
        <m/>
        <n v="12.5" u="1"/>
        <n v="4.3" u="1"/>
        <n v="12.2" u="1"/>
        <n v="20.7" u="1"/>
        <n v="4.5" u="1"/>
        <n v="4.7" u="1"/>
        <n v="12.6" u="1"/>
        <n v="21.5" u="1"/>
        <n v="22.3" u="1"/>
        <n v="13" u="1"/>
        <n v="20.100000000000001" u="1"/>
        <n v="21.7" u="1"/>
        <n v="0.6" u="1"/>
        <n v="1.6" u="1"/>
        <n v="22.5" u="1"/>
        <n v="1.7" u="1"/>
        <n v="4.4000000000000004" u="1"/>
        <n v="4.5999999999999996" u="1"/>
        <n v="13.9" u="1"/>
        <n v="1.8" u="1"/>
        <n v="4.8" u="1"/>
        <n v="12.8" u="1"/>
        <n v="13.2" u="1"/>
        <n v="22.7" u="1"/>
        <n v="5" u="1"/>
        <n v="14" u="1"/>
        <n v="14.4" u="1"/>
        <n v="13.3" u="1"/>
        <n v="13.7" u="1"/>
        <n v="37.200000000000003" u="1"/>
        <n v="4.9000000000000004" u="1"/>
        <n v="5.3" u="1"/>
        <n v="13.8" u="1"/>
        <n v="5.5" u="1"/>
        <n v="5.7" u="1"/>
        <n v="14.6" u="1"/>
        <n v="26.3" u="1"/>
        <n v="15" u="1"/>
        <n v="0.7" u="1"/>
        <n v="14.3" u="1"/>
        <n v="14.7" u="1"/>
        <n v="27.3" u="1"/>
        <n v="15.5" u="1"/>
        <n v="15.9" u="1"/>
        <n v="25.1" u="1"/>
        <n v="33.5" u="1"/>
        <n v="2" u="1"/>
        <n v="2.1" u="1"/>
        <n v="14.8" u="1"/>
        <n v="15.2" u="1"/>
        <n v="6" u="1"/>
        <n v="6.2" u="1"/>
        <n v="15.6" u="1"/>
        <n v="1.68" u="1"/>
        <n v="6.1" u="1"/>
        <n v="17" u="1"/>
        <n v="17.8" u="1"/>
        <n v="37.5" u="1"/>
        <n v="2.25" u="1"/>
        <n v="6.3" u="1"/>
        <n v="15.8" u="1"/>
        <n v="6.5" u="1"/>
        <n v="18" u="1"/>
        <n v="18.8" u="1"/>
        <n v="28.1" u="1"/>
        <n v="0.3" u="1"/>
        <n v="0.8" u="1"/>
        <n v="16.600000000000001" u="1"/>
        <n v="2.2000000000000002" u="1"/>
        <n v="18.2" u="1"/>
        <n v="0.9" u="1"/>
        <n v="2.4" u="1"/>
        <n v="6.4" u="1"/>
        <n v="19" u="1"/>
        <n v="2.5" u="1"/>
        <n v="2.6" u="1"/>
        <n v="6.8" u="1"/>
        <n v="40.299999999999997" u="1"/>
        <n v="7" u="1"/>
        <n v="7.2" u="1"/>
        <n v="19.2" u="1"/>
        <n v="20" u="1"/>
        <n v="20.8" u="1"/>
        <n v="30.9" u="1"/>
        <n v="18.600000000000001" u="1"/>
        <n v="19.399999999999999" u="1"/>
        <n v="20.2" u="1"/>
        <n v="34.6" u="1"/>
        <n v="19.600000000000001" u="1"/>
        <n v="7.5" u="1"/>
        <n v="7.7" u="1"/>
        <n v="35" u="1"/>
        <n v="22" u="1"/>
        <n v="46.3" u="1"/>
        <n v="2.7" u="1"/>
        <n v="2.8" u="1"/>
        <n v="38.6" u="1"/>
        <n v="1" u="1"/>
        <n v="2.9" u="1"/>
        <n v="3" u="1"/>
        <n v="3.1" u="1"/>
        <n v="21.6" u="1"/>
        <n v="8" u="1"/>
        <n v="8.4" u="1"/>
        <n v="24" u="1"/>
        <n v="8.1" u="1"/>
        <n v="22.6" u="1"/>
        <n v="8.5" u="1"/>
        <n v="8.9" u="1"/>
        <n v="24.2" u="1"/>
        <n v="7.9" u="1"/>
        <n v="25" u="1"/>
        <n v="8.6" u="1"/>
        <n v="9.4" u="1"/>
        <n v="0.4" u="1"/>
        <n v="8.6999999999999993" u="1"/>
        <n v="1.1000000000000001" u="1"/>
        <n v="9.1" u="1"/>
        <n v="24.6" u="1"/>
        <n v="1.2" u="1"/>
        <n v="3.2" u="1"/>
        <n v="9.5" u="1"/>
        <n v="1.3" u="1"/>
        <n v="8.8000000000000007" u="1"/>
        <n v="9.1999999999999993" u="1"/>
        <n v="27" u="1"/>
        <n v="27.8" u="1"/>
        <n v="3.5" u="1"/>
        <n v="3.6" u="1"/>
        <n v="9.6" u="1"/>
        <n v="10" u="1"/>
        <n v="10.4" u="1"/>
        <n v="48.6" u="1"/>
        <n v="9.3000000000000007" u="1"/>
        <n v="9.6999999999999993" u="1"/>
        <n v="28.8" u="1"/>
        <n v="1.67" u="1"/>
        <n v="10.1" u="1"/>
        <n v="16.5" u="1"/>
        <n v="17.3" u="1"/>
        <n v="26.6" u="1"/>
        <n v="10.5" u="1"/>
        <n v="10.9" u="1"/>
        <n v="35.299999999999997" u="1"/>
        <n v="9.8000000000000007" u="1"/>
        <n v="16.7" u="1"/>
        <n v="10.6" u="1"/>
        <n v="28.4" u="1"/>
        <n v="38.5" u="1"/>
        <n v="11" u="1"/>
        <n v="11.4" u="1"/>
        <n v="16.100000000000001" u="1"/>
        <n v="10.3" u="1"/>
        <n v="10.7" u="1"/>
        <n v="17.7" u="1"/>
        <n v="30" u="1"/>
        <n v="1.4" u="1"/>
        <n v="0.5" u="1"/>
        <n v="3.7" u="1"/>
        <n v="3.8" u="1"/>
        <n v="11.5" u="1"/>
        <n v="17.100000000000001" u="1"/>
        <n v="30.2" u="1"/>
        <n v="1.5" u="1"/>
        <n v="10.8" u="1"/>
        <n v="11.2" u="1"/>
        <n v="18.7" u="1"/>
        <n v="4" u="1"/>
        <n v="4.2" u="1"/>
        <n v="11.6" u="1"/>
        <n v="19.5" u="1"/>
        <n v="20.3" u="1"/>
        <n v="12" u="1"/>
        <n v="18.899999999999999" u="1"/>
        <n v="31.2" u="1"/>
        <n v="11.3" u="1"/>
        <n v="11.7" u="1"/>
        <n v="33.6" u="1"/>
      </sharedItems>
    </cacheField>
    <cacheField name="domingo" numFmtId="0">
      <sharedItems containsString="0" containsBlank="1" containsNumber="1" minValue="0" maxValue="66.3" count="167">
        <n v="0"/>
        <n v="19.5"/>
        <n v="3.13"/>
        <n v="15.45"/>
        <n v="5.4"/>
        <n v="1.35"/>
        <n v="9"/>
        <n v="3"/>
        <n v="0.4"/>
        <m/>
        <n v="12.1" u="1"/>
        <n v="20.5" u="1"/>
        <n v="46.1" u="1"/>
        <n v="12.5" u="1"/>
        <n v="4.3" u="1"/>
        <n v="4.5" u="1"/>
        <n v="4.7" u="1"/>
        <n v="12.6" u="1"/>
        <n v="13" u="1"/>
        <n v="13.4" u="1"/>
        <n v="20.100000000000001" u="1"/>
        <n v="12.3" u="1"/>
        <n v="0.6" u="1"/>
        <n v="1.6" u="1"/>
        <n v="1.7" u="1"/>
        <n v="4.4000000000000004" u="1"/>
        <n v="4.5999999999999996" u="1"/>
        <n v="13.5" u="1"/>
        <n v="13.9" u="1"/>
        <n v="1.8" u="1"/>
        <n v="13.2" u="1"/>
        <n v="5" u="1"/>
        <n v="5.2" u="1"/>
        <n v="14" u="1"/>
        <n v="14.4" u="1"/>
        <n v="13.7" u="1"/>
        <n v="14.1" u="1"/>
        <n v="5.3" u="1"/>
        <n v="9.15" u="1"/>
        <n v="5.5" u="1"/>
        <n v="5.7" u="1"/>
        <n v="26.3" u="1"/>
        <n v="15" u="1"/>
        <n v="15.4" u="1"/>
        <n v="0.7" u="1"/>
        <n v="2" u="1"/>
        <n v="2.1" u="1"/>
        <n v="6" u="1"/>
        <n v="6.2" u="1"/>
        <n v="15.6" u="1"/>
        <n v="27.5" u="1"/>
        <n v="33.9" u="1"/>
        <n v="5.85" u="1"/>
        <n v="16" u="1"/>
        <n v="16.8" u="1"/>
        <n v="26.9" u="1"/>
        <n v="37.1" u="1"/>
        <n v="2.0499999999999998" u="1"/>
        <n v="16.2" u="1"/>
        <n v="5.9" u="1"/>
        <n v="17.8" u="1"/>
        <n v="37.5" u="1"/>
        <n v="2.25" u="1"/>
        <n v="6.3" u="1"/>
        <n v="15.8" u="1"/>
        <n v="6.5" u="1"/>
        <n v="17.2" u="1"/>
        <n v="37.9" u="1"/>
        <n v="18" u="1"/>
        <n v="41.1" u="1"/>
        <n v="2.2000000000000002" u="1"/>
        <n v="6.75" u="1"/>
        <n v="18.2" u="1"/>
        <n v="0.9" u="1"/>
        <n v="2.4" u="1"/>
        <n v="19" u="1"/>
        <n v="2.5" u="1"/>
        <n v="2.6" u="1"/>
        <n v="6.8" u="1"/>
        <n v="7" u="1"/>
        <n v="7.2" u="1"/>
        <n v="19.2" u="1"/>
        <n v="1.02" u="1"/>
        <n v="20" u="1"/>
        <n v="13.68" u="1"/>
        <n v="18.600000000000001" u="1"/>
        <n v="19.399999999999999" u="1"/>
        <n v="21" u="1"/>
        <n v="7.5" u="1"/>
        <n v="35" u="1"/>
        <n v="20.6" u="1"/>
        <n v="2.8" u="1"/>
        <n v="1" u="1"/>
        <n v="1.05" u="1"/>
        <n v="2.9" u="1"/>
        <n v="23" u="1"/>
        <n v="3.1" u="1"/>
        <n v="21.6" u="1"/>
        <n v="8" u="1"/>
        <n v="8.4" u="1"/>
        <n v="24" u="1"/>
        <n v="8.1" u="1"/>
        <n v="22.6" u="1"/>
        <n v="23.4" u="1"/>
        <n v="8.5" u="1"/>
        <n v="8.9" u="1"/>
        <n v="7.9" u="1"/>
        <n v="8.1999999999999993" u="1"/>
        <n v="25" u="1"/>
        <n v="24.4" u="1"/>
        <n v="9.4" u="1"/>
        <n v="26" u="1"/>
        <n v="1.1000000000000001" u="1"/>
        <n v="9.1" u="1"/>
        <n v="24.6" u="1"/>
        <n v="1.2" u="1"/>
        <n v="3.2" u="1"/>
        <n v="3.3" u="1"/>
        <n v="9.5" u="1"/>
        <n v="9.9" u="1"/>
        <n v="8.8000000000000007" u="1"/>
        <n v="27" u="1"/>
        <n v="42.2" u="1"/>
        <n v="3.5" u="1"/>
        <n v="3.6" u="1"/>
        <n v="9.6" u="1"/>
        <n v="10" u="1"/>
        <n v="10.4" u="1"/>
        <n v="33.299999999999997" u="1"/>
        <n v="9.3000000000000007" u="1"/>
        <n v="9.6999999999999993" u="1"/>
        <n v="28.8" u="1"/>
        <n v="16.5" u="1"/>
        <n v="26.6" u="1"/>
        <n v="27.4" u="1"/>
        <n v="38.1" u="1"/>
        <n v="66.3" u="1"/>
        <n v="10.5" u="1"/>
        <n v="10.9" u="1"/>
        <n v="28.2" u="1"/>
        <n v="9.8000000000000007" u="1"/>
        <n v="10.199999999999999" u="1"/>
        <n v="18.3" u="1"/>
        <n v="27.6" u="1"/>
        <n v="11" u="1"/>
        <n v="11.4" u="1"/>
        <n v="16.100000000000001" u="1"/>
        <n v="10.3" u="1"/>
        <n v="10.7" u="1"/>
        <n v="17.7" u="1"/>
        <n v="1.4" u="1"/>
        <n v="11.1" u="1"/>
        <n v="19.3" u="1"/>
        <n v="0.5" u="1"/>
        <n v="3.8" u="1"/>
        <n v="11.5" u="1"/>
        <n v="17.100000000000001" u="1"/>
        <n v="1.5" u="1"/>
        <n v="10.8" u="1"/>
        <n v="4" u="1"/>
        <n v="11.6" u="1"/>
        <n v="20.3" u="1"/>
        <n v="29.6" u="1"/>
        <n v="12" u="1"/>
        <n v="18.899999999999999" u="1"/>
        <n v="11.7" u="1"/>
        <n v="19.7" u="1"/>
      </sharedItems>
    </cacheField>
    <cacheField name="Lunes" numFmtId="0">
      <sharedItems containsString="0" containsBlank="1" containsNumber="1" minValue="0" maxValue="42.2" count="185">
        <n v="0"/>
        <n v="9"/>
        <n v="21.38"/>
        <n v="9.4600000000000009"/>
        <n v="4"/>
        <n v="4.8"/>
        <n v="2.7"/>
        <m/>
        <n v="12.5" u="1"/>
        <n v="4.3" u="1"/>
        <n v="35.6" u="1"/>
        <n v="4.5" u="1"/>
        <n v="4.7" u="1"/>
        <n v="12.6" u="1"/>
        <n v="22.3" u="1"/>
        <n v="0.2" u="1"/>
        <n v="13" u="1"/>
        <n v="20.9" u="1"/>
        <n v="12.7" u="1"/>
        <n v="0.6" u="1"/>
        <n v="1.6" u="1"/>
        <n v="1.65" u="1"/>
        <n v="22.5" u="1"/>
        <n v="23.3" u="1"/>
        <n v="1.7" u="1"/>
        <n v="4.4000000000000004" u="1"/>
        <n v="4.5999999999999996" u="1"/>
        <n v="13.5" u="1"/>
        <n v="13.9" u="1"/>
        <n v="1.8" u="1"/>
        <n v="12.8" u="1"/>
        <n v="13.2" u="1"/>
        <n v="5" u="1"/>
        <n v="5.2" u="1"/>
        <n v="14" u="1"/>
        <n v="14.4" u="1"/>
        <n v="13.7" u="1"/>
        <n v="14.1" u="1"/>
        <n v="24.5" u="1"/>
        <n v="5.0999999999999996" u="1"/>
        <n v="40.4" u="1"/>
        <n v="5.3" u="1"/>
        <n v="5.5" u="1"/>
        <n v="5.7" u="1"/>
        <n v="15" u="1"/>
        <n v="0.7" u="1"/>
        <n v="25.7" u="1"/>
        <n v="5.4" u="1"/>
        <n v="5.6" u="1"/>
        <n v="25.1" u="1"/>
        <n v="2" u="1"/>
        <n v="2.1" u="1"/>
        <n v="14.8" u="1"/>
        <n v="6" u="1"/>
        <n v="6.2" u="1"/>
        <n v="15.6" u="1"/>
        <n v="16" u="1"/>
        <n v="16.8" u="1"/>
        <n v="15.3" u="1"/>
        <n v="16.2" u="1"/>
        <n v="28.5" u="1"/>
        <n v="6.3" u="1"/>
        <n v="15.8" u="1"/>
        <n v="16.399999999999999" u="1"/>
        <n v="6.5" u="1"/>
        <n v="37.9" u="1"/>
        <n v="18" u="1"/>
        <n v="18.8" u="1"/>
        <n v="0.3" u="1"/>
        <n v="0.8" u="1"/>
        <n v="29.7" u="1"/>
        <n v="38.299999999999997" u="1"/>
        <n v="2.2000000000000002" u="1"/>
        <n v="18.2" u="1"/>
        <n v="0.9" u="1"/>
        <n v="2.4" u="1"/>
        <n v="6.6" u="1"/>
        <n v="19" u="1"/>
        <n v="2.5" u="1"/>
        <n v="2.6" u="1"/>
        <n v="6.8" u="1"/>
        <n v="17.600000000000001" u="1"/>
        <n v="18.399999999999999" u="1"/>
        <n v="7" u="1"/>
        <n v="7.2" u="1"/>
        <n v="19.2" u="1"/>
        <n v="20" u="1"/>
        <n v="18.600000000000001" u="1"/>
        <n v="19.399999999999999" u="1"/>
        <n v="33" u="1"/>
        <n v="34.6" u="1"/>
        <n v="6.9" u="1"/>
        <n v="21" u="1"/>
        <n v="2.85" u="1"/>
        <n v="7.3" u="1"/>
        <n v="20.399999999999999" u="1"/>
        <n v="7.5" u="1"/>
        <n v="7.7" u="1"/>
        <n v="22.8" u="1"/>
        <n v="32.200000000000003" u="1"/>
        <n v="20.6" u="1"/>
        <n v="21.4" u="1"/>
        <n v="2.8" u="1"/>
        <n v="8.5299999999999994" u="1"/>
        <n v="1" u="1"/>
        <n v="2.9" u="1"/>
        <n v="10.36" u="1"/>
        <n v="23.8" u="1"/>
        <n v="3" u="1"/>
        <n v="3.1" u="1"/>
        <n v="7.8" u="1"/>
        <n v="21.6" u="1"/>
        <n v="37.4" u="1"/>
        <n v="8" u="1"/>
        <n v="8.4" u="1"/>
        <n v="20.54" u="1"/>
        <n v="24" u="1"/>
        <n v="8.1" u="1"/>
        <n v="22.6" u="1"/>
        <n v="8.5" u="1"/>
        <n v="7.9" u="1"/>
        <n v="8.1999999999999993" u="1"/>
        <n v="25" u="1"/>
        <n v="8.6" u="1"/>
        <n v="9.4" u="1"/>
        <n v="0.4" u="1"/>
        <n v="26" u="1"/>
        <n v="1.1000000000000001" u="1"/>
        <n v="25.4" u="1"/>
        <n v="1.2" u="1"/>
        <n v="3.2" u="1"/>
        <n v="9.5" u="1"/>
        <n v="9.9" u="1"/>
        <n v="3.4" u="1"/>
        <n v="8.8000000000000007" u="1"/>
        <n v="27" u="1"/>
        <n v="42.2" u="1"/>
        <n v="3.5" u="1"/>
        <n v="3.6" u="1"/>
        <n v="9.6" u="1"/>
        <n v="26.4" u="1"/>
        <n v="36.1" u="1"/>
        <n v="10" u="1"/>
        <n v="10.4" u="1"/>
        <n v="27.2" u="1"/>
        <n v="9.3000000000000007" u="1"/>
        <n v="9.6999999999999993" u="1"/>
        <n v="28" u="1"/>
        <n v="10.1" u="1"/>
        <n v="17.3" u="1"/>
        <n v="38.1" u="1"/>
        <n v="10.5" u="1"/>
        <n v="10.9" u="1"/>
        <n v="28.2" u="1"/>
        <n v="9.8000000000000007" u="1"/>
        <n v="10.199999999999999" u="1"/>
        <n v="27.6" u="1"/>
        <n v="40.1" u="1"/>
        <n v="11" u="1"/>
        <n v="11.4" u="1"/>
        <n v="10.3" u="1"/>
        <n v="10.7" u="1"/>
        <n v="17.7" u="1"/>
        <n v="30" u="1"/>
        <n v="1.4" u="1"/>
        <n v="11.1" u="1"/>
        <n v="0.5" u="1"/>
        <n v="3.7" u="1"/>
        <n v="3.8" u="1"/>
        <n v="11.5" u="1"/>
        <n v="17.100000000000001" u="1"/>
        <n v="1.5" u="1"/>
        <n v="10.8" u="1"/>
        <n v="18.7" u="1"/>
        <n v="31" u="1"/>
        <n v="11.6" u="1"/>
        <n v="19.5" u="1"/>
        <n v="20.3" u="1"/>
        <n v="12" u="1"/>
        <n v="12.4" u="1"/>
        <n v="18.899999999999999" u="1"/>
        <n v="11.3" u="1"/>
        <n v="11.7" u="1"/>
        <n v="19.7" u="1"/>
        <n v="33.6" u="1"/>
      </sharedItems>
    </cacheField>
    <cacheField name="Total / semana" numFmtId="0">
      <sharedItems containsSemiMixedTypes="0" containsString="0" containsNumber="1" minValue="0" maxValue="390.89"/>
    </cacheField>
    <cacheField name="Importe Martes" numFmtId="164">
      <sharedItems containsSemiMixedTypes="0" containsString="0" containsNumber="1" minValue="0" maxValue="3235.56"/>
    </cacheField>
    <cacheField name="Nota Martes" numFmtId="164">
      <sharedItems containsSemiMixedTypes="0" containsString="0" containsNumber="1" minValue="0" maxValue="5939.25"/>
    </cacheField>
    <cacheField name="Imp Miercoles" numFmtId="164">
      <sharedItems containsSemiMixedTypes="0" containsString="0" containsNumber="1" minValue="0" maxValue="3810.0599999999995"/>
    </cacheField>
    <cacheField name="Nota Miercoles" numFmtId="164">
      <sharedItems containsSemiMixedTypes="0" containsString="0" containsNumber="1" minValue="0" maxValue="6613.35"/>
    </cacheField>
    <cacheField name="Imp. Jueves" numFmtId="164">
      <sharedItems containsSemiMixedTypes="0" containsString="0" containsNumber="1" minValue="0" maxValue="3481.5059999999999"/>
    </cacheField>
    <cacheField name="Nota Jueves" numFmtId="164">
      <sharedItems containsSemiMixedTypes="0" containsString="0" containsNumber="1" minValue="0" maxValue="5265.7"/>
    </cacheField>
    <cacheField name="Imp. Viernes" numFmtId="164">
      <sharedItems containsSemiMixedTypes="0" containsString="0" containsNumber="1" minValue="0" maxValue="4228.92"/>
    </cacheField>
    <cacheField name="Nota Viernes" numFmtId="164">
      <sharedItems containsSemiMixedTypes="0" containsString="0" containsNumber="1" minValue="0" maxValue="6618.75"/>
    </cacheField>
    <cacheField name="Imp. Sabado" numFmtId="164">
      <sharedItems containsSemiMixedTypes="0" containsString="0" containsNumber="1" minValue="0" maxValue="4186.28"/>
    </cacheField>
    <cacheField name="Nota Sabado" numFmtId="164">
      <sharedItems containsSemiMixedTypes="0" containsString="0" containsNumber="1" minValue="0" maxValue="6801.6"/>
    </cacheField>
    <cacheField name="Imp. Domingo" numFmtId="164">
      <sharedItems containsSemiMixedTypes="0" containsString="0" containsNumber="1" minValue="0" maxValue="2937.2040000000002"/>
    </cacheField>
    <cacheField name="Nota Domingo" numFmtId="164">
      <sharedItems containsSemiMixedTypes="0" containsString="0" containsNumber="1" minValue="0" maxValue="5099.75"/>
    </cacheField>
    <cacheField name="Imp. Lunes" numFmtId="164">
      <sharedItems containsSemiMixedTypes="0" containsString="0" containsNumber="1" minValue="0" maxValue="3390.1440000000002"/>
    </cacheField>
    <cacheField name="Nota Lunes" numFmtId="164">
      <sharedItems containsSemiMixedTypes="0" containsString="0" containsNumber="1" minValue="0" maxValue="6631.8"/>
    </cacheField>
    <cacheField name="PRECIO COSTO" numFmtId="164">
      <sharedItems containsString="0" containsBlank="1" containsNumber="1" minValue="0" maxValue="140"/>
    </cacheField>
    <cacheField name="PRECIO VENTA" numFmtId="164">
      <sharedItems containsString="0" containsBlank="1" containsNumber="1" minValue="2.5" maxValue="180" count="45">
        <n v="89"/>
        <n v="95"/>
        <n v="82"/>
        <n v="60"/>
        <n v="90"/>
        <n v="98"/>
        <n v="150"/>
        <n v="75"/>
        <n v="50"/>
        <n v="160"/>
        <n v="120"/>
        <n v="140"/>
        <n v="145"/>
        <n v="130"/>
        <n v="38"/>
        <n v="180"/>
        <n v="40"/>
        <m/>
        <n v="96" u="1"/>
        <n v="34" u="1"/>
        <n v="100" u="1"/>
        <n v="125" u="1"/>
        <n v="36" u="1"/>
        <n v="42" u="1"/>
        <n v="70" u="1"/>
        <n v="162" u="1"/>
        <n v="46" u="1"/>
        <n v="78" u="1"/>
        <n v="48" u="1"/>
        <n v="128" u="1"/>
        <n v="65" u="1"/>
        <n v="2.5" u="1"/>
        <n v="58" u="1"/>
        <n v="168" u="1"/>
        <n v="85" u="1"/>
        <n v="110" u="1"/>
        <n v="68" u="1"/>
        <n v="118" u="1"/>
        <n v="158" u="1"/>
        <n v="3.2" u="1"/>
        <n v="45" u="1"/>
        <n v="76" u="1"/>
        <n v="80" u="1"/>
        <n v="30" u="1"/>
        <n v="55" u="1"/>
      </sharedItems>
    </cacheField>
    <cacheField name="Total Compra" numFmtId="164">
      <sharedItems containsSemiMixedTypes="0" containsString="0" containsNumber="1" minValue="0" maxValue="25269.673999999999"/>
    </cacheField>
    <cacheField name="Total Venta" numFmtId="164">
      <sharedItems containsSemiMixedTypes="0" containsString="0" containsNumber="1" minValue="0" maxValue="42970.200000000004"/>
    </cacheField>
    <cacheField name="Utilidad" numFmtId="164">
      <sharedItems containsSemiMixedTypes="0" containsString="0" containsNumber="1" minValue="0" maxValue="17700.526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m" refreshedDate="44576.395646064811" createdVersion="6" refreshedVersion="7" minRefreshableVersion="3" recordCount="26" xr:uid="{00000000-000A-0000-FFFF-FFFF55000000}">
  <cacheSource type="worksheet">
    <worksheetSource ref="A3:AC29" sheet="IMSS 2"/>
  </cacheSource>
  <cacheFields count="29">
    <cacheField name="No." numFmtId="1">
      <sharedItems containsString="0" containsBlank="1" containsNumber="1" containsInteger="1" minValue="1" maxValue="24" count="2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m/>
      </sharedItems>
    </cacheField>
    <cacheField name="Producto" numFmtId="0">
      <sharedItems containsBlank="1" count="28">
        <s v="CHULETA DE CERDO"/>
        <s v="LOMO DE CERDO"/>
        <s v="PIERNA DE CERDO EN TROZO"/>
        <s v="PIERNA DE CERDO MOLIDA"/>
        <s v="MERO EN FILETE CONGELADO"/>
        <s v="PECHUGA DE POLLO "/>
        <s v="PECHUGA DE POLLO DESHUESADA"/>
        <s v="PECHUGA  DESHUESADA EN BISTEC"/>
        <s v="PECHUGA DE POLLO  MÓLIDA"/>
        <s v="PIERNA Y MUSLO DE POLLO SIN PIEL EN FORMA DE PISTOLA"/>
        <s v="POLLO ENTERO"/>
        <s v="BISTEC DE PIERNA DE RES"/>
        <s v="CHAMBARETE DE RES"/>
        <s v="CUETE DE PIERNA DE RES"/>
        <s v="FALDA DE RES"/>
        <s v="PULPA DE RES EN TROZO"/>
        <s v="PULPA DE RES MOLIDA"/>
        <s v="HUEVO ENTERO"/>
        <s v="JAMÓN DE CERDO FINO CON 16% DE PROTEÍNA"/>
        <s v="JAMÓN DE PAVO"/>
        <s v="JAMÓN DE PECHUGA DE PAVO"/>
        <s v="MORTADELA"/>
        <s v="SALCHICHA DE CERDO VIENA"/>
        <s v="SALCHICHA DE PAVO VIENA"/>
        <s v="TOCINO"/>
        <m/>
        <s v="MERO" u="1"/>
        <s v="PIERNA Y MUSLO DE POLLO" u="1"/>
      </sharedItems>
    </cacheField>
    <cacheField name="Martes" numFmtId="0">
      <sharedItems containsString="0" containsBlank="1" containsNumber="1" minValue="0" maxValue="47" count="173">
        <n v="0"/>
        <n v="7"/>
        <n v="1"/>
        <n v="15"/>
        <n v="17"/>
        <n v="10"/>
        <n v="8"/>
        <n v="2"/>
        <n v="0.7"/>
        <m/>
        <n v="19.899999999999999" u="1"/>
        <n v="18.64" u="1"/>
        <n v="4.7" u="1"/>
        <n v="12.6" u="1"/>
        <n v="21.376000000000001" u="1"/>
        <n v="4.1500000000000004" u="1"/>
        <n v="13" u="1"/>
        <n v="0.55000000000000004" u="1"/>
        <n v="4.55" u="1"/>
        <n v="1.6" u="1"/>
        <n v="1.7" u="1"/>
        <n v="4.8" u="1"/>
        <n v="12.8" u="1"/>
        <n v="13.2" u="1"/>
        <n v="38" u="1"/>
        <n v="5" u="1"/>
        <n v="13.6" u="1"/>
        <n v="21.37" u="1"/>
        <n v="3.42" u="1"/>
        <n v="8.48" u="1"/>
        <n v="14.4" u="1"/>
        <n v="8.65" u="1"/>
        <n v="17.649999999999999" u="1"/>
        <n v="14.5" u="1"/>
        <n v="1.63" u="1"/>
        <n v="9.15" u="1"/>
        <n v="13.8" u="1"/>
        <n v="26.3" u="1"/>
        <n v="15.4" u="1"/>
        <n v="17.39" u="1"/>
        <n v="24.9" u="1"/>
        <n v="4.7699999999999996" u="1"/>
        <n v="12.34" u="1"/>
        <n v="17.59" u="1"/>
        <n v="28.56" u="1"/>
        <n v="5.4" u="1"/>
        <n v="2.1" u="1"/>
        <n v="14.8" u="1"/>
        <n v="15.2" u="1"/>
        <n v="6" u="1"/>
        <n v="15.6" u="1"/>
        <n v="0.21" u="1"/>
        <n v="16" u="1"/>
        <n v="16.8" u="1"/>
        <n v="37.950000000000003" u="1"/>
        <n v="0.96" u="1"/>
        <n v="15.3" u="1"/>
        <n v="6.45" u="1"/>
        <n v="9.5500000000000007" u="1"/>
        <n v="16.2" u="1"/>
        <n v="16.399999999999999" u="1"/>
        <n v="12.58" u="1"/>
        <n v="16.704999999999998" u="1"/>
        <n v="18" u="1"/>
        <n v="18.8" u="1"/>
        <n v="0.8" u="1"/>
        <n v="2.2000000000000002" u="1"/>
        <n v="0.9" u="1"/>
        <n v="2.4" u="1"/>
        <n v="6.4" u="1"/>
        <n v="6.6" u="1"/>
        <n v="11.35" u="1"/>
        <n v="19.8" u="1"/>
        <n v="2.5" u="1"/>
        <n v="7.98" u="1"/>
        <n v="7.2" u="1"/>
        <n v="6.85" u="1"/>
        <n v="9.09" u="1"/>
        <n v="20" u="1"/>
        <n v="20.8" u="1"/>
        <n v="18.600000000000001" u="1"/>
        <n v="19.399999999999999" u="1"/>
        <n v="34.06" u="1"/>
        <n v="7.25" u="1"/>
        <n v="12.961" u="1"/>
        <n v="0.27" u="1"/>
        <n v="1.98" u="1"/>
        <n v="21" u="1"/>
        <n v="2.75" u="1"/>
        <n v="2.85" u="1"/>
        <n v="20.399999999999999" u="1"/>
        <n v="7.5" u="1"/>
        <n v="21.2" u="1"/>
        <n v="3.88" u="1"/>
        <n v="32.200000000000003" u="1"/>
        <n v="21.4" u="1"/>
        <n v="2.8" u="1"/>
        <n v="5.5359999999999996" u="1"/>
        <n v="2.9" u="1"/>
        <n v="10.59" u="1"/>
        <n v="12.32" u="1"/>
        <n v="3" u="1"/>
        <n v="7.8" u="1"/>
        <n v="13.75" u="1"/>
        <n v="22.4" u="1"/>
        <n v="0.48" u="1"/>
        <n v="10.06" u="1"/>
        <n v="24" u="1"/>
        <n v="24.8" u="1"/>
        <n v="0.84" u="1"/>
        <n v="1.42" u="1"/>
        <n v="8.1" u="1"/>
        <n v="14.88" u="1"/>
        <n v="8.5" u="1"/>
        <n v="24.2" u="1"/>
        <n v="7.9" u="1"/>
        <n v="25" u="1"/>
        <n v="35.75" u="1"/>
        <n v="14.75" u="1"/>
        <n v="9" u="1"/>
        <n v="25.2" u="1"/>
        <n v="0.4" u="1"/>
        <n v="8.6999999999999993" u="1"/>
        <n v="18.420000000000002" u="1"/>
        <n v="1.1000000000000001" u="1"/>
        <n v="1.2" u="1"/>
        <n v="3.3" u="1"/>
        <n v="9.9" u="1"/>
        <n v="3.4" u="1"/>
        <n v="8.17" u="1"/>
        <n v="8.8000000000000007" u="1"/>
        <n v="15.35" u="1"/>
        <n v="3.5" u="1"/>
        <n v="9.6" u="1"/>
        <n v="15.75" u="1"/>
        <n v="0.88" u="1"/>
        <n v="2.42" u="1"/>
        <n v="10.4" u="1"/>
        <n v="47" u="1"/>
        <n v="1.52" u="1"/>
        <n v="7.47" u="1"/>
        <n v="9.3000000000000007" u="1"/>
        <n v="10.1" u="1"/>
        <n v="16.5" u="1"/>
        <n v="27.4" u="1"/>
        <n v="0.72" u="1"/>
        <n v="3.85" u="1"/>
        <n v="26.34" u="1"/>
        <n v="28.4" u="1"/>
        <n v="11" u="1"/>
        <n v="19.829999999999998" u="1"/>
        <n v="17.7" u="1"/>
        <n v="1.4" u="1"/>
        <n v="11.1" u="1"/>
        <n v="28.6" u="1"/>
        <n v="0.5" u="1"/>
        <n v="3.7" u="1"/>
        <n v="6.36" u="1"/>
        <n v="6.99" u="1"/>
        <n v="8.74" u="1"/>
        <n v="1.5" u="1"/>
        <n v="22.09" u="1"/>
        <n v="31" u="1"/>
        <n v="4" u="1"/>
        <n v="4.2" u="1"/>
        <n v="12" u="1"/>
        <n v="23.16" u="1"/>
        <n v="0.42" u="1"/>
        <n v="2.23" u="1"/>
        <n v="9.64" u="1"/>
        <n v="17.64" u="1"/>
        <n v="19.7" u="1"/>
        <n v="32" u="1"/>
      </sharedItems>
    </cacheField>
    <cacheField name="Miercoles" numFmtId="0">
      <sharedItems containsString="0" containsBlank="1" containsNumber="1" minValue="0" maxValue="40.5" count="178">
        <n v="0"/>
        <n v="16"/>
        <n v="3.5"/>
        <n v="25"/>
        <n v="13"/>
        <n v="1"/>
        <n v="7"/>
        <m/>
        <n v="3.36" u="1"/>
        <n v="4.0999999999999996" u="1"/>
        <n v="19.899999999999999" u="1"/>
        <n v="11.8" u="1"/>
        <n v="18.64" u="1"/>
        <n v="4.5" u="1"/>
        <n v="4.7" u="1"/>
        <n v="12.6" u="1"/>
        <n v="13.4" u="1"/>
        <n v="0.55000000000000004" u="1"/>
        <n v="4.55" u="1"/>
        <n v="8.2799999999999994" u="1"/>
        <n v="12.3" u="1"/>
        <n v="1.6" u="1"/>
        <n v="22.5" u="1"/>
        <n v="23.76" u="1"/>
        <n v="29.21" u="1"/>
        <n v="1.7" u="1"/>
        <n v="4.8" u="1"/>
        <n v="13.2" u="1"/>
        <n v="38" u="1"/>
        <n v="5" u="1"/>
        <n v="21.37" u="1"/>
        <n v="3.42" u="1"/>
        <n v="8.48" u="1"/>
        <n v="14" u="1"/>
        <n v="14.4" u="1"/>
        <n v="5.25" u="1"/>
        <n v="17.649999999999999" u="1"/>
        <n v="1.48" u="1"/>
        <n v="5.0999999999999996" u="1"/>
        <n v="2.5379999999999998" u="1"/>
        <n v="9.15" u="1"/>
        <n v="22.091000000000001" u="1"/>
        <n v="1.58" u="1"/>
        <n v="8.0500000000000007" u="1"/>
        <n v="12.87" u="1"/>
        <n v="26.3" u="1"/>
        <n v="8.85" u="1"/>
        <n v="15" u="1"/>
        <n v="15.4" u="1"/>
        <n v="17.39" u="1"/>
        <n v="19.38" u="1"/>
        <n v="0.7" u="1"/>
        <n v="6.6379999999999999" u="1"/>
        <n v="12.34" u="1"/>
        <n v="5.4" u="1"/>
        <n v="2" u="1"/>
        <n v="2.1" u="1"/>
        <n v="14.8" u="1"/>
        <n v="30.82" u="1"/>
        <n v="5.85" u="1"/>
        <n v="16.8" u="1"/>
        <n v="19.32" u="1"/>
        <n v="0.96" u="1"/>
        <n v="15.3" u="1"/>
        <n v="2.0499999999999998" u="1"/>
        <n v="16.2" u="1"/>
        <n v="17" u="1"/>
        <n v="6.5" u="1"/>
        <n v="27.37" u="1"/>
        <n v="6.35" u="1"/>
        <n v="0.8" u="1"/>
        <n v="16.600000000000001" u="1"/>
        <n v="17.399999999999999" u="1"/>
        <n v="2.2999999999999998" u="1"/>
        <n v="10.5945" u="1"/>
        <n v="0.9" u="1"/>
        <n v="2.4" u="1"/>
        <n v="6.4" u="1"/>
        <n v="6.6" u="1"/>
        <n v="19.8" u="1"/>
        <n v="2.5" u="1"/>
        <n v="2.6" u="1"/>
        <n v="7.98" u="1"/>
        <n v="4.24" u="1"/>
        <n v="7.2" u="1"/>
        <n v="11.05" u="1"/>
        <n v="0.14000000000000001" u="1"/>
        <n v="3.63" u="1"/>
        <n v="20.8" u="1"/>
        <n v="12.88" u="1"/>
        <n v="19.399999999999999" u="1"/>
        <n v="20.73" u="1"/>
        <n v="1.6359999999999999" u="1"/>
        <n v="1.98" u="1"/>
        <n v="21" u="1"/>
        <n v="2.75" u="1"/>
        <n v="2.85" u="1"/>
        <n v="20.399999999999999" u="1"/>
        <n v="1.44" u="1"/>
        <n v="7.5" u="1"/>
        <n v="21.2" u="1"/>
        <n v="35" u="1"/>
        <n v="0.35" u="1"/>
        <n v="7.35" u="1"/>
        <n v="32.200000000000003" u="1"/>
        <n v="2.7" u="1"/>
        <n v="2.8" u="1"/>
        <n v="12.32" u="1"/>
        <n v="16.149999999999999" u="1"/>
        <n v="3" u="1"/>
        <n v="3.1" u="1"/>
        <n v="7.8" u="1"/>
        <n v="8" u="1"/>
        <n v="8.4" u="1"/>
        <n v="0.48" u="1"/>
        <n v="10.06" u="1"/>
        <n v="0.84" u="1"/>
        <n v="1.42" u="1"/>
        <n v="8.1" u="1"/>
        <n v="22.6" u="1"/>
        <n v="8.5" u="1"/>
        <n v="18.75" u="1"/>
        <n v="24.2" u="1"/>
        <n v="7.9" u="1"/>
        <n v="8.1999999999999993" u="1"/>
        <n v="35.75" u="1"/>
        <n v="14.75" u="1"/>
        <n v="9" u="1"/>
        <n v="9.4" u="1"/>
        <n v="25.2" u="1"/>
        <n v="0.4" u="1"/>
        <n v="8.6999999999999993" u="1"/>
        <n v="8.4700000000000006" u="1"/>
        <n v="9.1" u="1"/>
        <n v="1.2" u="1"/>
        <n v="3.2" u="1"/>
        <n v="9.5" u="1"/>
        <n v="9.9" u="1"/>
        <n v="3.4" u="1"/>
        <n v="8.8000000000000007" u="1"/>
        <n v="15.35" u="1"/>
        <n v="27" u="1"/>
        <n v="3.6" u="1"/>
        <n v="9.6" u="1"/>
        <n v="15.75" u="1"/>
        <n v="0.88" u="1"/>
        <n v="10" u="1"/>
        <n v="10.4" u="1"/>
        <n v="1.52" u="1"/>
        <n v="2.52" u="1"/>
        <n v="9.6999999999999993" u="1"/>
        <n v="16.5" u="1"/>
        <n v="18.489999999999998" u="1"/>
        <n v="27.4" u="1"/>
        <n v="36.5" u="1"/>
        <n v="10.5" u="1"/>
        <n v="9.8000000000000007" u="1"/>
        <n v="0.72" u="1"/>
        <n v="3.85" u="1"/>
        <n v="12.96" u="1"/>
        <n v="11" u="1"/>
        <n v="19.829999999999998" u="1"/>
        <n v="17.7" u="1"/>
        <n v="1.4" u="1"/>
        <n v="11.1" u="1"/>
        <n v="40.5" u="1"/>
        <n v="0.5" u="1"/>
        <n v="3.7" u="1"/>
        <n v="6.36" u="1"/>
        <n v="8.74" u="1"/>
        <n v="1.5" u="1"/>
        <n v="4" u="1"/>
        <n v="4.2" u="1"/>
        <n v="20.3" u="1"/>
        <n v="12" u="1"/>
        <n v="0.42" u="1"/>
        <n v="9.64" u="1"/>
        <n v="19.7" u="1"/>
      </sharedItems>
    </cacheField>
    <cacheField name="Jueves " numFmtId="0">
      <sharedItems containsString="0" containsBlank="1" containsNumber="1" minValue="0" maxValue="44.05" count="177">
        <n v="0"/>
        <n v="17"/>
        <n v="1.5"/>
        <n v="9"/>
        <n v="8"/>
        <n v="7.5"/>
        <n v="20"/>
        <n v="0.5"/>
        <n v="2.5"/>
        <n v="7"/>
        <n v="0.8"/>
        <m/>
        <n v="3.36" u="1"/>
        <n v="4.0999999999999996" u="1"/>
        <n v="19.899999999999999" u="1"/>
        <n v="18.64" u="1"/>
        <n v="12.6" u="1"/>
        <n v="13" u="1"/>
        <n v="0.6" u="1"/>
        <n v="1.6" u="1"/>
        <n v="1.7" u="1"/>
        <n v="4.4000000000000004" u="1"/>
        <n v="4.5999999999999996" u="1"/>
        <n v="4.8" u="1"/>
        <n v="13.2" u="1"/>
        <n v="22.7" u="1"/>
        <n v="38" u="1"/>
        <n v="5" u="1"/>
        <n v="5.2" u="1"/>
        <n v="3.42" u="1"/>
        <n v="8.48" u="1"/>
        <n v="14" u="1"/>
        <n v="14.4" u="1"/>
        <n v="8.65" u="1"/>
        <n v="13.7" u="1"/>
        <n v="32.159999999999997" u="1"/>
        <n v="44.05" u="1"/>
        <n v="40.4" u="1"/>
        <n v="0.36" u="1"/>
        <n v="9.15" u="1"/>
        <n v="1.58" u="1"/>
        <n v="8.0500000000000007" u="1"/>
        <n v="12.87" u="1"/>
        <n v="8.85" u="1"/>
        <n v="15" u="1"/>
        <n v="17.39" u="1"/>
        <n v="0.7" u="1"/>
        <n v="1.9" u="1"/>
        <n v="4.7699999999999996" u="1"/>
        <n v="6.6379999999999999" u="1"/>
        <n v="12.34" u="1"/>
        <n v="26.5" u="1"/>
        <n v="27.3" u="1"/>
        <n v="5.4" u="1"/>
        <n v="5.6" u="1"/>
        <n v="2" u="1"/>
        <n v="2.1" u="1"/>
        <n v="4.42" u="1"/>
        <n v="5.8" u="1"/>
        <n v="6.63" u="1"/>
        <n v="6" u="1"/>
        <n v="0.21" u="1"/>
        <n v="12.574999999999999" u="1"/>
        <n v="16.8" u="1"/>
        <n v="21.38" u="1"/>
        <n v="37.950000000000003" u="1"/>
        <n v="0.96" u="1"/>
        <n v="15.3" u="1"/>
        <n v="9.5500000000000007" u="1"/>
        <n v="16.2" u="1"/>
        <n v="6.1" u="1"/>
        <n v="17.8" u="1"/>
        <n v="0.1" u="1"/>
        <n v="6.5" u="1"/>
        <n v="0.3" u="1"/>
        <n v="11.88" u="1"/>
        <n v="17.399999999999999" u="1"/>
        <n v="2.2999999999999998" u="1"/>
        <n v="3.09" u="1"/>
        <n v="0.9" u="1"/>
        <n v="2.4" u="1"/>
        <n v="6.4" u="1"/>
        <n v="6.6" u="1"/>
        <n v="6.8" u="1"/>
        <n v="7.98" u="1"/>
        <n v="25.25" u="1"/>
        <n v="4.24" u="1"/>
        <n v="7.2" u="1"/>
        <n v="11.05" u="1"/>
        <n v="9.09" u="1"/>
        <n v="20.8" u="1"/>
        <n v="19.399999999999999" u="1"/>
        <n v="1.6359999999999999" u="1"/>
        <n v="33" u="1"/>
        <n v="0.27" u="1"/>
        <n v="1.98" u="1"/>
        <n v="7.1" u="1"/>
        <n v="9.36" u="1"/>
        <n v="21" u="1"/>
        <n v="2.75" u="1"/>
        <n v="2.85" u="1"/>
        <n v="20.399999999999999" u="1"/>
        <n v="1.44" u="1"/>
        <n v="21.2" u="1"/>
        <n v="0.35" u="1"/>
        <n v="32.200000000000003" u="1"/>
        <n v="2.7" u="1"/>
        <n v="2.8" u="1"/>
        <n v="1" u="1"/>
        <n v="10.59" u="1"/>
        <n v="12.32" u="1"/>
        <n v="16.149999999999999" u="1"/>
        <n v="3" u="1"/>
        <n v="3.1" u="1"/>
        <n v="20.34" u="1"/>
        <n v="8.4" u="1"/>
        <n v="10.06" u="1"/>
        <n v="0.84" u="1"/>
        <n v="1.42" u="1"/>
        <n v="10.425000000000001" u="1"/>
        <n v="14.88" u="1"/>
        <n v="8.5" u="1"/>
        <n v="7.9" u="1"/>
        <n v="25" u="1"/>
        <n v="35.75" u="1"/>
        <n v="14.75" u="1"/>
        <n v="9.4" u="1"/>
        <n v="14.05" u="1"/>
        <n v="25.2" u="1"/>
        <n v="0.4" u="1"/>
        <n v="8.6999999999999993" u="1"/>
        <n v="1.1000000000000001" u="1"/>
        <n v="8.4700000000000006" u="1"/>
        <n v="9.1" u="1"/>
        <n v="34.1" u="1"/>
        <n v="1.2" u="1"/>
        <n v="3.2" u="1"/>
        <n v="3.3" u="1"/>
        <n v="9.5" u="1"/>
        <n v="9.9" u="1"/>
        <n v="3.4" u="1"/>
        <n v="8.17" u="1"/>
        <n v="8.8000000000000007" u="1"/>
        <n v="9.1999999999999993" u="1"/>
        <n v="15.35" u="1"/>
        <n v="3.5" u="1"/>
        <n v="9.6" u="1"/>
        <n v="15.75" u="1"/>
        <n v="0.88" u="1"/>
        <n v="2.42" u="1"/>
        <n v="10" u="1"/>
        <n v="10.4" u="1"/>
        <n v="2.52" u="1"/>
        <n v="7.47" u="1"/>
        <n v="16.5" u="1"/>
        <n v="27.4" u="1"/>
        <n v="15.72" u="1"/>
        <n v="16.7" u="1"/>
        <n v="0.72" u="1"/>
        <n v="3.85" u="1"/>
        <n v="26.34" u="1"/>
        <n v="2.226" u="1"/>
        <n v="11" u="1"/>
        <n v="19.829999999999998" u="1"/>
        <n v="17.7" u="1"/>
        <n v="1.4" u="1"/>
        <n v="8.0559999999999992" u="1"/>
        <n v="11.1" u="1"/>
        <n v="3.7" u="1"/>
        <n v="6.36" u="1"/>
        <n v="8.74" u="1"/>
        <n v="14.89" u="1"/>
        <n v="22.09" u="1"/>
        <n v="4" u="1"/>
        <n v="4.2" u="1"/>
        <n v="12" u="1"/>
        <n v="9.64" u="1"/>
      </sharedItems>
    </cacheField>
    <cacheField name="Viernes" numFmtId="0">
      <sharedItems containsString="0" containsBlank="1" containsNumber="1" minValue="0" maxValue="40.47" count="182">
        <n v="0"/>
        <n v="10"/>
        <n v="13"/>
        <n v="1"/>
        <n v="21"/>
        <n v="1.5"/>
        <n v="4.5"/>
        <n v="5"/>
        <m/>
        <n v="20.5" u="1"/>
        <n v="3.36" u="1"/>
        <n v="19.899999999999999" u="1"/>
        <n v="0.82" u="1"/>
        <n v="12.6" u="1"/>
        <n v="32.799999999999997" u="1"/>
        <n v="0.2" u="1"/>
        <n v="0.55000000000000004" u="1"/>
        <n v="4.55" u="1"/>
        <n v="0.6" u="1"/>
        <n v="1.6" u="1"/>
        <n v="9.08" u="1"/>
        <n v="1.7" u="1"/>
        <n v="4.4000000000000004" u="1"/>
        <n v="4.5999999999999996" u="1"/>
        <n v="13.5" u="1"/>
        <n v="4.8" u="1"/>
        <n v="13.2" u="1"/>
        <n v="2.5299999999999998" u="1"/>
        <n v="32.75" u="1"/>
        <n v="3.42" u="1"/>
        <n v="14.4" u="1"/>
        <n v="22.1" u="1"/>
        <n v="9.2799999999999994" u="1"/>
        <n v="9.91" u="1"/>
        <n v="40" u="1"/>
        <n v="5.25" u="1"/>
        <n v="27.36" u="1"/>
        <n v="40.47" u="1"/>
        <n v="8.98" u="1"/>
        <n v="14.5" u="1"/>
        <n v="14.9" u="1"/>
        <n v="9.15" u="1"/>
        <n v="13.8" u="1"/>
        <n v="1.58" u="1"/>
        <n v="12.87" u="1"/>
        <n v="8.85" u="1"/>
        <n v="15" u="1"/>
        <n v="15.4" u="1"/>
        <n v="17.39" u="1"/>
        <n v="19.38" u="1"/>
        <n v="0.7" u="1"/>
        <n v="6.6379999999999999" u="1"/>
        <n v="5.4" u="1"/>
        <n v="2.1" u="1"/>
        <n v="5.8" u="1"/>
        <n v="6" u="1"/>
        <n v="27.376000000000001" u="1"/>
        <n v="0.21" u="1"/>
        <n v="0.33" u="1"/>
        <n v="16.8" u="1"/>
        <n v="37.950000000000003" u="1"/>
        <n v="8.2899999999999991" u="1"/>
        <n v="9.5500000000000007" u="1"/>
        <n v="16.2" u="1"/>
        <n v="6.3" u="1"/>
        <n v="15.8" u="1"/>
        <n v="0.1" u="1"/>
        <n v="6.5" u="1"/>
        <n v="0.3" u="1"/>
        <n v="0.8" u="1"/>
        <n v="2.2999999999999998" u="1"/>
        <n v="3.09" u="1"/>
        <n v="0.9" u="1"/>
        <n v="2.4" u="1"/>
        <n v="6.4" u="1"/>
        <n v="6.6" u="1"/>
        <n v="9.6199999999999992" u="1"/>
        <n v="2.5" u="1"/>
        <n v="2.6" u="1"/>
        <n v="17.600000000000001" u="1"/>
        <n v="18.399999999999999" u="1"/>
        <n v="4.24" u="1"/>
        <n v="7" u="1"/>
        <n v="7.2" u="1"/>
        <n v="10.42" u="1"/>
        <n v="11.05" u="1"/>
        <n v="0.14000000000000001" u="1"/>
        <n v="9.09" u="1"/>
        <n v="20" u="1"/>
        <n v="20.73" u="1"/>
        <n v="34.06" u="1"/>
        <n v="4.375" u="1"/>
        <n v="6.9" u="1"/>
        <n v="9.36" u="1"/>
        <n v="21.8" u="1"/>
        <n v="19.600000000000001" u="1"/>
        <n v="20.399999999999999" u="1"/>
        <n v="1.44" u="1"/>
        <n v="7.5" u="1"/>
        <n v="12.05" u="1"/>
        <n v="21.2" u="1"/>
        <n v="0.35" u="1"/>
        <n v="7.35" u="1"/>
        <n v="32.200000000000003" u="1"/>
        <n v="2.7" u="1"/>
        <n v="2.8" u="1"/>
        <n v="32.81" u="1"/>
        <n v="16.149999999999999" u="1"/>
        <n v="3" u="1"/>
        <n v="3.1" u="1"/>
        <n v="20.34" u="1"/>
        <n v="8" u="1"/>
        <n v="17.75" u="1"/>
        <n v="0.48" u="1"/>
        <n v="24" u="1"/>
        <n v="0.84" u="1"/>
        <n v="1.42" u="1"/>
        <n v="3.125" u="1"/>
        <n v="10.425000000000001" u="1"/>
        <n v="7.9" u="1"/>
        <n v="25" u="1"/>
        <n v="35.75" u="1"/>
        <n v="1.64" u="1"/>
        <n v="8.6" u="1"/>
        <n v="14.75" u="1"/>
        <n v="9" u="1"/>
        <n v="9.4" u="1"/>
        <n v="14.05" u="1"/>
        <n v="25.2" u="1"/>
        <n v="0.4" u="1"/>
        <n v="1.1000000000000001" u="1"/>
        <n v="1.1499999999999999" u="1"/>
        <n v="8.4700000000000006" u="1"/>
        <n v="9.1" u="1"/>
        <n v="19.88" u="1"/>
        <n v="34.1" u="1"/>
        <n v="1.2" u="1"/>
        <n v="3.2" u="1"/>
        <n v="9.9" u="1"/>
        <n v="17.29" u="1"/>
        <n v="3.4" u="1"/>
        <n v="8.17" u="1"/>
        <n v="8.8000000000000007" u="1"/>
        <n v="27" u="1"/>
        <n v="27.8" u="1"/>
        <n v="3.5" u="1"/>
        <n v="3.6" u="1"/>
        <n v="9.6" u="1"/>
        <n v="15.75" u="1"/>
        <n v="0.88" u="1"/>
        <n v="2.42" u="1"/>
        <n v="10.4" u="1"/>
        <n v="1.52" u="1"/>
        <n v="2.52" u="1"/>
        <n v="7.47" u="1"/>
        <n v="28" u="1"/>
        <n v="16.5" u="1"/>
        <n v="27.4" u="1"/>
        <n v="10.5" u="1"/>
        <n v="28.2" u="1"/>
        <n v="9.8000000000000007" u="1"/>
        <n v="16.7" u="1"/>
        <n v="0.72" u="1"/>
        <n v="10.6" u="1"/>
        <n v="12.96" u="1"/>
        <n v="26.34" u="1"/>
        <n v="19.829999999999998" u="1"/>
        <n v="17.7" u="1"/>
        <n v="1.4" u="1"/>
        <n v="8.0559999999999992" u="1"/>
        <n v="11.1" u="1"/>
        <n v="0.5" u="1"/>
        <n v="3.7" u="1"/>
        <n v="6.36" u="1"/>
        <n v="8.74" u="1"/>
        <n v="37.700000000000003" u="1"/>
        <n v="3.9" u="1"/>
        <n v="4" u="1"/>
        <n v="4.2" u="1"/>
        <n v="19.5" u="1"/>
        <n v="12" u="1"/>
        <n v="9.64" u="1"/>
      </sharedItems>
    </cacheField>
    <cacheField name="Sabado" numFmtId="0">
      <sharedItems containsString="0" containsBlank="1" containsNumber="1" minValue="0" maxValue="47.4" count="195">
        <n v="0"/>
        <n v="17"/>
        <n v="22"/>
        <n v="11"/>
        <n v="6"/>
        <n v="1"/>
        <n v="21"/>
        <n v="2"/>
        <n v="2.5"/>
        <m/>
        <n v="3.36" u="1"/>
        <n v="12.5" u="1"/>
        <n v="19.899999999999999" u="1"/>
        <n v="0.82" u="1"/>
        <n v="4.5" u="1"/>
        <n v="12.6" u="1"/>
        <n v="4.1500000000000004" u="1"/>
        <n v="13" u="1"/>
        <n v="13.4" u="1"/>
        <n v="4.55" u="1"/>
        <n v="12.3" u="1"/>
        <n v="0.6" u="1"/>
        <n v="1.6" u="1"/>
        <n v="7.2750000000000004" u="1"/>
        <n v="1.7" u="1"/>
        <n v="4.4000000000000004" u="1"/>
        <n v="4.5999999999999996" u="1"/>
        <n v="17.78" u="1"/>
        <n v="1.8" u="1"/>
        <n v="4.8" u="1"/>
        <n v="12.8" u="1"/>
        <n v="13.2" u="1"/>
        <n v="2.5299999999999998" u="1"/>
        <n v="3.12" u="1"/>
        <n v="5" u="1"/>
        <n v="12.57" u="1"/>
        <n v="3.42" u="1"/>
        <n v="8.48" u="1"/>
        <n v="14" u="1"/>
        <n v="14.4" u="1"/>
        <n v="22.1" u="1"/>
        <n v="8.65" u="1"/>
        <n v="32.159999999999997" u="1"/>
        <n v="5.25" u="1"/>
        <n v="27.36" u="1"/>
        <n v="40.47" u="1"/>
        <n v="6.28" u="1"/>
        <n v="14.9" u="1"/>
        <n v="40.4" u="1"/>
        <n v="5.3" u="1"/>
        <n v="9.15" u="1"/>
        <n v="13.8" u="1"/>
        <n v="42" u="1"/>
        <n v="1.58" u="1"/>
        <n v="12.87" u="1"/>
        <n v="8.85" u="1"/>
        <n v="15" u="1"/>
        <n v="15.4" u="1"/>
        <n v="17.39" u="1"/>
        <n v="19.38" u="1"/>
        <n v="0.7" u="1"/>
        <n v="4.7699999999999996" u="1"/>
        <n v="17.59" u="1"/>
        <n v="5.4" u="1"/>
        <n v="8.7200000000000006" u="1"/>
        <n v="2.1" u="1"/>
        <n v="5.8" u="1"/>
        <n v="0.21" u="1"/>
        <n v="16" u="1"/>
        <n v="16.8" u="1"/>
        <n v="37.950000000000003" u="1"/>
        <n v="0.96" u="1"/>
        <n v="15.3" u="1"/>
        <n v="15.7" u="1"/>
        <n v="1.68" u="1"/>
        <n v="9.5500000000000007" u="1"/>
        <n v="16.2" u="1"/>
        <n v="15.8" u="1"/>
        <n v="0.1" u="1"/>
        <n v="16.704999999999998" u="1"/>
        <n v="18" u="1"/>
        <n v="0.8" u="1"/>
        <n v="3.09" u="1"/>
        <n v="0.9" u="1"/>
        <n v="2.4" u="1"/>
        <n v="6.4" u="1"/>
        <n v="6.6" u="1"/>
        <n v="18.416" u="1"/>
        <n v="19" u="1"/>
        <n v="17.600000000000001" u="1"/>
        <n v="4.24" u="1"/>
        <n v="7" u="1"/>
        <n v="7.2" u="1"/>
        <n v="11.05" u="1"/>
        <n v="0.14000000000000001" u="1"/>
        <n v="6.85" u="1"/>
        <n v="9.09" u="1"/>
        <n v="20.73" u="1"/>
        <n v="33" u="1"/>
        <n v="0.27" u="1"/>
        <n v="1.98" u="1"/>
        <n v="6.9" u="1"/>
        <n v="9.36" u="1"/>
        <n v="2.75" u="1"/>
        <n v="20.399999999999999" u="1"/>
        <n v="1.44" u="1"/>
        <n v="7.5" u="1"/>
        <n v="12.05" u="1"/>
        <n v="21.2" u="1"/>
        <n v="27.98" u="1"/>
        <n v="0.35" u="1"/>
        <n v="7.35" u="1"/>
        <n v="32.200000000000003" u="1"/>
        <n v="15.94" u="1"/>
        <n v="21.4" u="1"/>
        <n v="2.8" u="1"/>
        <n v="32.81" u="1"/>
        <n v="37" u="1"/>
        <n v="7.6" u="1"/>
        <n v="10.59" u="1"/>
        <n v="16.149999999999999" u="1"/>
        <n v="23" u="1"/>
        <n v="3" u="1"/>
        <n v="3.1" u="1"/>
        <n v="7.8" u="1"/>
        <n v="13.75" u="1"/>
        <n v="20.34" u="1"/>
        <n v="21.6" u="1"/>
        <n v="8" u="1"/>
        <n v="8.4" u="1"/>
        <n v="0.48" u="1"/>
        <n v="0.84" u="1"/>
        <n v="1.42" u="1"/>
        <n v="8.1" u="1"/>
        <n v="10.425000000000001" u="1"/>
        <n v="14.88" u="1"/>
        <n v="5.49" u="1"/>
        <n v="8.5" u="1"/>
        <n v="8.9" u="1"/>
        <n v="7.9" u="1"/>
        <n v="1.64" u="1"/>
        <n v="9" u="1"/>
        <n v="14.05" u="1"/>
        <n v="25.2" u="1"/>
        <n v="0.15" u="1"/>
        <n v="0.4" u="1"/>
        <n v="8.6999999999999993" u="1"/>
        <n v="1.1000000000000001" u="1"/>
        <n v="8.4700000000000006" u="1"/>
        <n v="9.73" u="1"/>
        <n v="34.1" u="1"/>
        <n v="1.2" u="1"/>
        <n v="9.5" u="1"/>
        <n v="9.9" u="1"/>
        <n v="8.17" u="1"/>
        <n v="8.8000000000000007" u="1"/>
        <n v="32.9" u="1"/>
        <n v="9.6" u="1"/>
        <n v="20.88" u="1"/>
        <n v="0.88" u="1"/>
        <n v="2.2200000000000002" u="1"/>
        <n v="10" u="1"/>
        <n v="10.4" u="1"/>
        <n v="2.52" u="1"/>
        <n v="6.64" u="1"/>
        <n v="7.47" u="1"/>
        <n v="10.1" u="1"/>
        <n v="16.5" u="1"/>
        <n v="27.4" u="1"/>
        <n v="47.4" u="1"/>
        <n v="28.2" u="1"/>
        <n v="0.72" u="1"/>
        <n v="3.85" u="1"/>
        <n v="10.6" u="1"/>
        <n v="12.96" u="1"/>
        <n v="26.34" u="1"/>
        <n v="17.7" u="1"/>
        <n v="1.4" u="1"/>
        <n v="11.1" u="1"/>
        <n v="0.5" u="1"/>
        <n v="3.7" u="1"/>
        <n v="6.99" u="1"/>
        <n v="8.74" u="1"/>
        <n v="1.5" u="1"/>
        <n v="3.9" u="1"/>
        <n v="9.14" u="1"/>
        <n v="22.09" u="1"/>
        <n v="4" u="1"/>
        <n v="4.2" u="1"/>
        <n v="12" u="1"/>
        <n v="12.4" u="1"/>
        <n v="7.44" u="1"/>
        <n v="9.64" u="1"/>
        <n v="19.7" u="1"/>
        <n v="32" u="1"/>
      </sharedItems>
    </cacheField>
    <cacheField name="domingo" numFmtId="0">
      <sharedItems containsString="0" containsBlank="1" containsNumber="1" minValue="0" maxValue="40.47" count="177">
        <n v="0"/>
        <n v="33"/>
        <n v="2.5"/>
        <n v="13"/>
        <n v="7"/>
        <n v="1"/>
        <n v="11"/>
        <n v="5"/>
        <n v="0.7"/>
        <m/>
        <n v="21.3" u="1"/>
        <n v="3.36" u="1"/>
        <n v="12.5" u="1"/>
        <n v="19.899999999999999" u="1"/>
        <n v="0.82" u="1"/>
        <n v="4.5" u="1"/>
        <n v="4.7" u="1"/>
        <n v="12.6" u="1"/>
        <n v="4.1500000000000004" u="1"/>
        <n v="4.3499999999999996" u="1"/>
        <n v="7.74" u="1"/>
        <n v="0.55000000000000004" u="1"/>
        <n v="4.55" u="1"/>
        <n v="12.3" u="1"/>
        <n v="0.6" u="1"/>
        <n v="1.6" u="1"/>
        <n v="1.7" u="1"/>
        <n v="4.5999999999999996" u="1"/>
        <n v="4.8" u="1"/>
        <n v="12.8" u="1"/>
        <n v="13.2" u="1"/>
        <n v="12.57" u="1"/>
        <n v="3.42" u="1"/>
        <n v="14" u="1"/>
        <n v="14.4" u="1"/>
        <n v="22.1" u="1"/>
        <n v="8.65" u="1"/>
        <n v="13.7" u="1"/>
        <n v="32.159999999999997" u="1"/>
        <n v="5.25" u="1"/>
        <n v="17.649999999999999" u="1"/>
        <n v="27.36" u="1"/>
        <n v="40.47" u="1"/>
        <n v="17.190000000000001" u="1"/>
        <n v="2.5379999999999998" u="1"/>
        <n v="13.8" u="1"/>
        <n v="1.58" u="1"/>
        <n v="5.5" u="1"/>
        <n v="12.87" u="1"/>
        <n v="15" u="1"/>
        <n v="15.4" u="1"/>
        <n v="19.38" u="1"/>
        <n v="14.7" u="1"/>
        <n v="4.37" u="1"/>
        <n v="4.7699999999999996" u="1"/>
        <n v="5.4" u="1"/>
        <n v="9.35" u="1"/>
        <n v="2" u="1"/>
        <n v="2.1" u="1"/>
        <n v="5.8" u="1"/>
        <n v="6" u="1"/>
        <n v="15.6" u="1"/>
        <n v="16" u="1"/>
        <n v="16.8" u="1"/>
        <n v="37.950000000000003" u="1"/>
        <n v="0.96" u="1"/>
        <n v="15.3" u="1"/>
        <n v="9.5500000000000007" u="1"/>
        <n v="15.8" u="1"/>
        <n v="18" u="1"/>
        <n v="0.8" u="1"/>
        <n v="17.399999999999999" u="1"/>
        <n v="2.2000000000000002" u="1"/>
        <n v="3.09" u="1"/>
        <n v="6.75" u="1"/>
        <n v="0.9" u="1"/>
        <n v="2.4" u="1"/>
        <n v="6.4" u="1"/>
        <n v="6.6" u="1"/>
        <n v="19.8" u="1"/>
        <n v="24.45" u="1"/>
        <n v="2.6" u="1"/>
        <n v="17.600000000000001" u="1"/>
        <n v="7.2" u="1"/>
        <n v="10.42" u="1"/>
        <n v="19.2" u="1"/>
        <n v="0.14000000000000001" u="1"/>
        <n v="8.06" u="1"/>
        <n v="9.09" u="1"/>
        <n v="20.73" u="1"/>
        <n v="34.06" u="1"/>
        <n v="0.27" u="1"/>
        <n v="6.9" u="1"/>
        <n v="9.36" u="1"/>
        <n v="18.41" u="1"/>
        <n v="21" u="1"/>
        <n v="2.75" u="1"/>
        <n v="20.399999999999999" u="1"/>
        <n v="1.44" u="1"/>
        <n v="7.5" u="1"/>
        <n v="12.05" u="1"/>
        <n v="21.2" u="1"/>
        <n v="36.6" u="1"/>
        <n v="32.200000000000003" u="1"/>
        <n v="2.7" u="1"/>
        <n v="2.8" u="1"/>
        <n v="32.81" u="1"/>
        <n v="7.6" u="1"/>
        <n v="10.59" u="1"/>
        <n v="12.32" u="1"/>
        <n v="16.149999999999999" u="1"/>
        <n v="3" u="1"/>
        <n v="7.8" u="1"/>
        <n v="13.75" u="1"/>
        <n v="20.34" u="1"/>
        <n v="8" u="1"/>
        <n v="8.4" u="1"/>
        <n v="8.6300000000000008" u="1"/>
        <n v="0.48" u="1"/>
        <n v="24" u="1"/>
        <n v="0.84" u="1"/>
        <n v="1.42" u="1"/>
        <n v="3.125" u="1"/>
        <n v="8.1" u="1"/>
        <n v="14.88" u="1"/>
        <n v="24.2" u="1"/>
        <n v="7.9" u="1"/>
        <n v="8.1999999999999993" u="1"/>
        <n v="31.25" u="1"/>
        <n v="9" u="1"/>
        <n v="14.05" u="1"/>
        <n v="0.15" u="1"/>
        <n v="0.4" u="1"/>
        <n v="8.6999999999999993" u="1"/>
        <n v="11.06" u="1"/>
        <n v="1.1000000000000001" u="1"/>
        <n v="8.4700000000000006" u="1"/>
        <n v="1.2" u="1"/>
        <n v="3.2" u="1"/>
        <n v="9.9" u="1"/>
        <n v="8.17" u="1"/>
        <n v="8.8000000000000007" u="1"/>
        <n v="3.5" u="1"/>
        <n v="9.6" u="1"/>
        <n v="15.75" u="1"/>
        <n v="0.88" u="1"/>
        <n v="2.42" u="1"/>
        <n v="10" u="1"/>
        <n v="1.52" u="1"/>
        <n v="2.52" u="1"/>
        <n v="6.64" u="1"/>
        <n v="7.47" u="1"/>
        <n v="10.1" u="1"/>
        <n v="16.5" u="1"/>
        <n v="27.4" u="1"/>
        <n v="10.5" u="1"/>
        <n v="0.72" u="1"/>
        <n v="10.6" u="1"/>
        <n v="12.96" u="1"/>
        <n v="26.34" u="1"/>
        <n v="16.100000000000001" u="1"/>
        <n v="17.7" u="1"/>
        <n v="1.4" u="1"/>
        <n v="11.1" u="1"/>
        <n v="0.5" u="1"/>
        <n v="6.99" u="1"/>
        <n v="1.5" u="1"/>
        <n v="3.9" u="1"/>
        <n v="7.39" u="1"/>
        <n v="10.8" u="1"/>
        <n v="22.09" u="1"/>
        <n v="4" u="1"/>
        <n v="4.2" u="1"/>
        <n v="12" u="1"/>
        <n v="18.899999999999999" u="1"/>
        <n v="0.42" u="1"/>
        <n v="2.23" u="1"/>
      </sharedItems>
    </cacheField>
    <cacheField name="Lunes" numFmtId="0">
      <sharedItems containsString="0" containsBlank="1" containsNumber="1" minValue="0" maxValue="62.9" count="180">
        <n v="0"/>
        <n v="17"/>
        <n v="28"/>
        <n v="10"/>
        <n v="4"/>
        <n v="9"/>
        <m/>
        <n v="3.36" u="1"/>
        <n v="12.5" u="1"/>
        <n v="0.82" u="1"/>
        <n v="11.8" u="1"/>
        <n v="4.5" u="1"/>
        <n v="4.7" u="1"/>
        <n v="12.6" u="1"/>
        <n v="21.376000000000001" u="1"/>
        <n v="4.1500000000000004" u="1"/>
        <n v="13" u="1"/>
        <n v="0.55000000000000004" u="1"/>
        <n v="4.55" u="1"/>
        <n v="12.3" u="1"/>
        <n v="1.6" u="1"/>
        <n v="1.7" u="1"/>
        <n v="4.8" u="1"/>
        <n v="13.2" u="1"/>
        <n v="3.12" u="1"/>
        <n v="5" u="1"/>
        <n v="8.48" u="1"/>
        <n v="14.4" u="1"/>
        <n v="8.65" u="1"/>
        <n v="23.7" u="1"/>
        <n v="32.159999999999997" u="1"/>
        <n v="17.649999999999999" u="1"/>
        <n v="27.36" u="1"/>
        <n v="40.47" u="1"/>
        <n v="5.3" u="1"/>
        <n v="9.15" u="1"/>
        <n v="1.58" u="1"/>
        <n v="5.5" u="1"/>
        <n v="26.3" u="1"/>
        <n v="7.56" u="1"/>
        <n v="15" u="1"/>
        <n v="15.4" u="1"/>
        <n v="0.7" u="1"/>
        <n v="4.7699999999999996" u="1"/>
        <n v="12.34" u="1"/>
        <n v="17.59" u="1"/>
        <n v="5.4" u="1"/>
        <n v="2" u="1"/>
        <n v="2.1" u="1"/>
        <n v="14.8" u="1"/>
        <n v="16.8" u="1"/>
        <n v="0.96" u="1"/>
        <n v="8.52" u="1"/>
        <n v="15.3" u="1"/>
        <n v="1.68" u="1"/>
        <n v="6.25" u="1"/>
        <n v="16.2" u="1"/>
        <n v="20.85" u="1"/>
        <n v="6.1" u="1"/>
        <n v="15.8" u="1"/>
        <n v="12.58" u="1"/>
        <n v="27.37" u="1"/>
        <n v="11.48" u="1"/>
        <n v="18" u="1"/>
        <n v="0.3" u="1"/>
        <n v="0.8" u="1"/>
        <n v="16.600000000000001" u="1"/>
        <n v="17.399999999999999" u="1"/>
        <n v="62.9" u="1"/>
        <n v="2.2000000000000002" u="1"/>
        <n v="0.9" u="1"/>
        <n v="2.4" u="1"/>
        <n v="6.4" u="1"/>
        <n v="6.6" u="1"/>
        <n v="18.416" u="1"/>
        <n v="19.8" u="1"/>
        <n v="2.5" u="1"/>
        <n v="17.600000000000001" u="1"/>
        <n v="4.24" u="1"/>
        <n v="7" u="1"/>
        <n v="7.2" u="1"/>
        <n v="0.14000000000000001" u="1"/>
        <n v="4.4400000000000004" u="1"/>
        <n v="6.85" u="1"/>
        <n v="20.8" u="1"/>
        <n v="18.600000000000001" u="1"/>
        <n v="34.06" u="1"/>
        <n v="6.27" u="1"/>
        <n v="0.27" u="1"/>
        <n v="1.98" u="1"/>
        <n v="4.375" u="1"/>
        <n v="7.1" u="1"/>
        <n v="9.36" u="1"/>
        <n v="21" u="1"/>
        <n v="2.75" u="1"/>
        <n v="2.85" u="1"/>
        <n v="20.399999999999999" u="1"/>
        <n v="1.44" u="1"/>
        <n v="12.05" u="1"/>
        <n v="21.2" u="1"/>
        <n v="36.6" u="1"/>
        <n v="5.14" u="1"/>
        <n v="18.54" u="1"/>
        <n v="22" u="1"/>
        <n v="32.200000000000003" u="1"/>
        <n v="21.4" u="1"/>
        <n v="2.7" u="1"/>
        <n v="32.81" u="1"/>
        <n v="1" u="1"/>
        <n v="10.59" u="1"/>
        <n v="12.32" u="1"/>
        <n v="35.799999999999997" u="1"/>
        <n v="3" u="1"/>
        <n v="13.75" u="1"/>
        <n v="8" u="1"/>
        <n v="23.2" u="1"/>
        <n v="0.48" u="1"/>
        <n v="37.799999999999997" u="1"/>
        <n v="0.84" u="1"/>
        <n v="1.42" u="1"/>
        <n v="8.1" u="1"/>
        <n v="14.88" u="1"/>
        <n v="8.5" u="1"/>
        <n v="24.2" u="1"/>
        <n v="7.9" u="1"/>
        <n v="25" u="1"/>
        <n v="35.75" u="1"/>
        <n v="14.05" u="1"/>
        <n v="25.2" u="1"/>
        <n v="0.4" u="1"/>
        <n v="6.97" u="1"/>
        <n v="8.6999999999999993" u="1"/>
        <n v="11.06" u="1"/>
        <n v="1.1000000000000001" u="1"/>
        <n v="1.2" u="1"/>
        <n v="3.2" u="1"/>
        <n v="9.9" u="1"/>
        <n v="3.4" u="1"/>
        <n v="8.8000000000000007" u="1"/>
        <n v="9.1999999999999993" u="1"/>
        <n v="15.35" u="1"/>
        <n v="3.5" u="1"/>
        <n v="3.6" u="1"/>
        <n v="9.6" u="1"/>
        <n v="15.75" u="1"/>
        <n v="0.88" u="1"/>
        <n v="2.42" u="1"/>
        <n v="10.4" u="1"/>
        <n v="1.52" u="1"/>
        <n v="2.52" u="1"/>
        <n v="10.1" u="1"/>
        <n v="16.5" u="1"/>
        <n v="17.3" u="1"/>
        <n v="27.4" u="1"/>
        <n v="0.72" u="1"/>
        <n v="3.85" u="1"/>
        <n v="10.6" u="1"/>
        <n v="12.96" u="1"/>
        <n v="17.5" u="1"/>
        <n v="11.4" u="1"/>
        <n v="16.100000000000001" u="1"/>
        <n v="17.7" u="1"/>
        <n v="30" u="1"/>
        <n v="1.4" u="1"/>
        <n v="11.1" u="1"/>
        <n v="0.5" u="1"/>
        <n v="3.7" u="1"/>
        <n v="6.16" u="1"/>
        <n v="6.99" u="1"/>
        <n v="8.74" u="1"/>
        <n v="1.5" u="1"/>
        <n v="3.21" u="1"/>
        <n v="10.8" u="1"/>
        <n v="22.09" u="1"/>
        <n v="4.2" u="1"/>
        <n v="12" u="1"/>
        <n v="0.42" u="1"/>
        <n v="2.23" u="1"/>
        <n v="9.64" u="1"/>
        <n v="19.7" u="1"/>
      </sharedItems>
    </cacheField>
    <cacheField name="Total / semana" numFmtId="0">
      <sharedItems containsSemiMixedTypes="0" containsString="0" containsNumber="1" minValue="0" maxValue="517.70000000000005"/>
    </cacheField>
    <cacheField name="Importe Martes" numFmtId="164">
      <sharedItems containsSemiMixedTypes="0" containsString="0" containsNumber="1" minValue="0" maxValue="4480.3"/>
    </cacheField>
    <cacheField name="Nota Martes" numFmtId="164">
      <sharedItems containsSemiMixedTypes="0" containsString="0" containsNumber="1" containsInteger="1" minValue="0" maxValue="7894"/>
    </cacheField>
    <cacheField name="Imp Miercoles" numFmtId="164">
      <sharedItems containsSemiMixedTypes="0" containsString="0" containsNumber="1" minValue="0" maxValue="4649.1000000000004"/>
    </cacheField>
    <cacheField name="Nota Miercoles" numFmtId="164">
      <sharedItems containsSemiMixedTypes="0" containsString="0" containsNumber="1" containsInteger="1" minValue="0" maxValue="7850"/>
    </cacheField>
    <cacheField name="Imp. Jueves" numFmtId="164">
      <sharedItems containsSemiMixedTypes="0" containsString="0" containsNumber="1" minValue="0" maxValue="4527.3999999999996"/>
    </cacheField>
    <cacheField name="Nota Jueves" numFmtId="164">
      <sharedItems containsSemiMixedTypes="0" containsString="0" containsNumber="1" containsInteger="1" minValue="0" maxValue="6606"/>
    </cacheField>
    <cacheField name="Imp. Viernes" numFmtId="164">
      <sharedItems containsSemiMixedTypes="0" containsString="0" containsNumber="1" minValue="0" maxValue="5757.65"/>
    </cacheField>
    <cacheField name="Nota Viernes" numFmtId="164">
      <sharedItems containsSemiMixedTypes="0" containsString="0" containsNumber="1" containsInteger="1" minValue="0" maxValue="8951"/>
    </cacheField>
    <cacheField name="Imp. Sabado" numFmtId="164">
      <sharedItems containsSemiMixedTypes="0" containsString="0" containsNumber="1" minValue="0" maxValue="5389.3"/>
    </cacheField>
    <cacheField name="Nota Sabado" numFmtId="164">
      <sharedItems containsSemiMixedTypes="0" containsString="0" containsNumber="1" containsInteger="1" minValue="0" maxValue="8813"/>
    </cacheField>
    <cacheField name="Imp. Domingo" numFmtId="164">
      <sharedItems containsSemiMixedTypes="0" containsString="0" containsNumber="1" minValue="0" maxValue="3889.2999999999997"/>
    </cacheField>
    <cacheField name="Nota Domingo" numFmtId="164">
      <sharedItems containsSemiMixedTypes="0" containsString="0" containsNumber="1" containsInteger="1" minValue="0" maxValue="6581"/>
    </cacheField>
    <cacheField name="Imp. Lunes" numFmtId="164">
      <sharedItems containsSemiMixedTypes="0" containsString="0" containsNumber="1" minValue="0" maxValue="4313.2000000000007"/>
    </cacheField>
    <cacheField name="Nota Lunes" numFmtId="164">
      <sharedItems containsSemiMixedTypes="0" containsString="0" containsNumber="1" containsInteger="1" minValue="0" maxValue="8347"/>
    </cacheField>
    <cacheField name="PRECIO COSTO" numFmtId="164">
      <sharedItems containsString="0" containsBlank="1" containsNumber="1" minValue="0" maxValue="140"/>
    </cacheField>
    <cacheField name="PRECIO VENTA" numFmtId="164">
      <sharedItems containsString="0" containsBlank="1" containsNumber="1" minValue="2.5" maxValue="180" count="45">
        <n v="89"/>
        <n v="95"/>
        <n v="82"/>
        <n v="60"/>
        <n v="90"/>
        <n v="98"/>
        <n v="150"/>
        <n v="75"/>
        <n v="50"/>
        <n v="160"/>
        <n v="120"/>
        <n v="140"/>
        <n v="145"/>
        <n v="130"/>
        <n v="38"/>
        <n v="180"/>
        <n v="40"/>
        <m/>
        <n v="96" u="1"/>
        <n v="34" u="1"/>
        <n v="100" u="1"/>
        <n v="125" u="1"/>
        <n v="36" u="1"/>
        <n v="42" u="1"/>
        <n v="70" u="1"/>
        <n v="162" u="1"/>
        <n v="46" u="1"/>
        <n v="78" u="1"/>
        <n v="48" u="1"/>
        <n v="128" u="1"/>
        <n v="65" u="1"/>
        <n v="2.5" u="1"/>
        <n v="58" u="1"/>
        <n v="168" u="1"/>
        <n v="85" u="1"/>
        <n v="110" u="1"/>
        <n v="68" u="1"/>
        <n v="118" u="1"/>
        <n v="158" u="1"/>
        <n v="3.2" u="1"/>
        <n v="45" u="1"/>
        <n v="76" u="1"/>
        <n v="80" u="1"/>
        <n v="30" u="1"/>
        <n v="55" u="1"/>
      </sharedItems>
    </cacheField>
    <cacheField name="Total Compra" numFmtId="164">
      <sharedItems containsSemiMixedTypes="0" containsString="0" containsNumber="1" minValue="0" maxValue="33006.25"/>
    </cacheField>
    <cacheField name="Total Venta" numFmtId="164">
      <sharedItems containsSemiMixedTypes="0" containsString="0" containsNumber="1" containsInteger="1" minValue="0" maxValue="55042"/>
    </cacheField>
    <cacheField name="Utilidad" numFmtId="164">
      <sharedItems containsSemiMixedTypes="0" containsString="0" containsNumber="1" minValue="0" maxValue="22035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m" refreshedDate="44576.395651967592" createdVersion="6" refreshedVersion="7" minRefreshableVersion="3" recordCount="24" xr:uid="{00000000-000A-0000-FFFF-FFFF12000000}">
  <cacheSource type="worksheet">
    <worksheetSource ref="B2:J26" sheet="ORDENES "/>
  </cacheSource>
  <cacheFields count="9">
    <cacheField name="No.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PRODUCTO" numFmtId="0">
      <sharedItems count="27">
        <s v="CHULETA DE CERDO"/>
        <s v="LOMO DE CERDO"/>
        <s v="PIERNA DE CERDO EN TROZO"/>
        <s v="PIERNA DE CERDO MOLIDA"/>
        <s v="MERO EN FILETE CONGELADO"/>
        <s v="PECHUGA DE POLLO "/>
        <s v="PECHUGA DE POLLO DESHUESADA"/>
        <s v="PECHUGA  DESHUESADA EN BISTEC"/>
        <s v="PECHUGA DE POLLO  MÓLIDA"/>
        <s v="PIERNA Y MUSLO DE POLLO SIN PIEL EN FORMA DE PISTOLA"/>
        <s v="POLLO ENTERO"/>
        <s v="BISTEC DE PIERNA DE RES"/>
        <s v="CHAMBARETE DE RES"/>
        <s v="CUETE DE PIERNA DE RES"/>
        <s v="FALDA DE RES"/>
        <s v="PULPA DE RES EN TROZO"/>
        <s v="PULPA DE RES MOLIDA"/>
        <s v="HUEVO ENTERO"/>
        <s v="JAMÓN DE CERDO FINO CON 16% DE PROTEÍNA"/>
        <s v="JAMÓN DE PAVO"/>
        <s v="JAMÓN DE PECHUGA DE PAVO"/>
        <s v="MORTADELA"/>
        <s v="SALCHICHA DE CERDO VIENA"/>
        <s v="SALCHICHA DE PAVO VIENA"/>
        <s v="MERO" u="1"/>
        <s v="TOCINO" u="1"/>
        <s v="PIERNA Y MUSLO DE POLLO" u="1"/>
      </sharedItems>
    </cacheField>
    <cacheField name="MARTES" numFmtId="0">
      <sharedItems containsString="0" containsBlank="1" containsNumber="1" minValue="0.2" maxValue="45" count="180">
        <m/>
        <n v="11.48"/>
        <n v="0.96"/>
        <n v="19.8"/>
        <n v="10.8"/>
        <n v="13.2"/>
        <n v="8.1"/>
        <n v="10.29"/>
        <n v="0.66"/>
        <n v="1.88"/>
        <n v="1.72"/>
        <n v="12.1" u="1"/>
        <n v="21.3" u="1"/>
        <n v="12.5" u="1"/>
        <n v="12.9" u="1"/>
        <n v="4.3" u="1"/>
        <n v="20.7" u="1"/>
        <n v="4.5" u="1"/>
        <n v="12.6" u="1"/>
        <n v="31.6" u="1"/>
        <n v="0.2" u="1"/>
        <n v="13" u="1"/>
        <n v="12.7" u="1"/>
        <n v="21.7" u="1"/>
        <n v="0.6" u="1"/>
        <n v="1.6" u="1"/>
        <n v="13.1" u="1"/>
        <n v="22.5" u="1"/>
        <n v="23.3" u="1"/>
        <n v="1.7" u="1"/>
        <n v="4.4000000000000004" u="1"/>
        <n v="4.5999999999999996" u="1"/>
        <n v="13.5" u="1"/>
        <n v="1.8" u="1"/>
        <n v="4.8" u="1"/>
        <n v="39.6" u="1"/>
        <n v="5" u="1"/>
        <n v="13.6" u="1"/>
        <n v="23.5" u="1"/>
        <n v="24.3" u="1"/>
        <n v="14" u="1"/>
        <n v="22.9" u="1"/>
        <n v="38.4" u="1"/>
        <n v="13.3" u="1"/>
        <n v="40" u="1"/>
        <n v="24.5" u="1"/>
        <n v="4.9000000000000004" u="1"/>
        <n v="5.0999999999999996" u="1"/>
        <n v="14.5" u="1"/>
        <n v="23.1" u="1"/>
        <n v="5.5" u="1"/>
        <n v="25.5" u="1"/>
        <n v="26.3" u="1"/>
        <n v="15" u="1"/>
        <n v="15.4" u="1"/>
        <n v="0.7" u="1"/>
        <n v="14.7" u="1"/>
        <n v="25.7" u="1"/>
        <n v="26.5" u="1"/>
        <n v="5.4" u="1"/>
        <n v="5.6" u="1"/>
        <n v="15.5" u="1"/>
        <n v="15.9" u="1"/>
        <n v="33.5" u="1"/>
        <n v="2" u="1"/>
        <n v="6" u="1"/>
        <n v="15.6" u="1"/>
        <n v="16" u="1"/>
        <n v="34.299999999999997" u="1"/>
        <n v="4.0049999999999999" u="1"/>
        <n v="16.2" u="1"/>
        <n v="6.1" u="1"/>
        <n v="17" u="1"/>
        <n v="6.3" u="1"/>
        <n v="15.8" u="1"/>
        <n v="16.399999999999999" u="1"/>
        <n v="6.5" u="1"/>
        <n v="30.3" u="1"/>
        <n v="18" u="1"/>
        <n v="0.3" u="1"/>
        <n v="17.399999999999999" u="1"/>
        <n v="29.7" u="1"/>
        <n v="2.2999999999999998" u="1"/>
        <n v="18.2" u="1"/>
        <n v="39.9" u="1"/>
        <n v="0.9" u="1"/>
        <n v="2.4" u="1"/>
        <n v="6.4" u="1"/>
        <n v="6.6" u="1"/>
        <n v="2.5" u="1"/>
        <n v="2.6" u="1"/>
        <n v="6.8" u="1"/>
        <n v="17.600000000000001" u="1"/>
        <n v="18.399999999999999" u="1"/>
        <n v="7" u="1"/>
        <n v="31.5" u="1"/>
        <n v="20" u="1"/>
        <n v="30.9" u="1"/>
        <n v="6.9" u="1"/>
        <n v="7.1" u="1"/>
        <n v="21" u="1"/>
        <n v="21.8" u="1"/>
        <n v="7.3" u="1"/>
        <n v="20.399999999999999" u="1"/>
        <n v="44.3" u="1"/>
        <n v="7.5" u="1"/>
        <n v="35" u="1"/>
        <n v="22" u="1"/>
        <n v="22.8" u="1"/>
        <n v="2.7" u="1"/>
        <n v="2.8" u="1"/>
        <n v="1" u="1"/>
        <n v="2.9" u="1"/>
        <n v="12.72" u="1"/>
        <n v="23" u="1"/>
        <n v="23.8" u="1"/>
        <n v="3" u="1"/>
        <n v="3.1" u="1"/>
        <n v="21.6" u="1"/>
        <n v="8" u="1"/>
        <n v="13.22" u="1"/>
        <n v="24" u="1"/>
        <n v="24.8" u="1"/>
        <n v="22.6" u="1"/>
        <n v="8.5" u="1"/>
        <n v="24.2" u="1"/>
        <n v="25" u="1"/>
        <n v="8.6" u="1"/>
        <n v="23.6" u="1"/>
        <n v="9" u="1"/>
        <n v="0.4" u="1"/>
        <n v="8.3000000000000007" u="1"/>
        <n v="9.1" u="1"/>
        <n v="24.6" u="1"/>
        <n v="1.2" u="1"/>
        <n v="3.2" u="1"/>
        <n v="3.3" u="1"/>
        <n v="9.9" u="1"/>
        <n v="21.55" u="1"/>
        <n v="26.2" u="1"/>
        <n v="45" u="1"/>
        <n v="1.3" u="1"/>
        <n v="8.8000000000000007" u="1"/>
        <n v="9.1999999999999993" u="1"/>
        <n v="3.5" u="1"/>
        <n v="9.6" u="1"/>
        <n v="16.3" u="1"/>
        <n v="25.6" u="1"/>
        <n v="34.5" u="1"/>
        <n v="10" u="1"/>
        <n v="21.75" u="1"/>
        <n v="9.3000000000000007" u="1"/>
        <n v="16.5" u="1"/>
        <n v="10.9" u="1"/>
        <n v="29" u="1"/>
        <n v="0.72" u="1"/>
        <n v="17.5" u="1"/>
        <n v="11" u="1"/>
        <n v="16.100000000000001" u="1"/>
        <n v="10.7" u="1"/>
        <n v="30" u="1"/>
        <n v="1.4" u="1"/>
        <n v="11.1" u="1"/>
        <n v="18.5" u="1"/>
        <n v="0.5" u="1"/>
        <n v="11.9" u="1"/>
        <n v="17.899999999999999" u="1"/>
        <n v="1.5" u="1"/>
        <n v="11.2" u="1"/>
        <n v="31" u="1"/>
        <n v="4" u="1"/>
        <n v="4.2" u="1"/>
        <n v="20.3" u="1"/>
        <n v="29.6" u="1"/>
        <n v="42.5" u="1"/>
        <n v="12" u="1"/>
        <n v="12.4" u="1"/>
        <n v="18.100000000000001" u="1"/>
        <n v="19.7" u="1"/>
        <n v="32" u="1"/>
      </sharedItems>
    </cacheField>
    <cacheField name="MIERCOLES" numFmtId="0">
      <sharedItems containsString="0" containsBlank="1" containsNumber="1" minValue="0.1" maxValue="72" count="172">
        <m/>
        <n v="20.079999999999998"/>
        <n v="3.6"/>
        <n v="21.15"/>
        <n v="12"/>
        <n v="1.1399999999999999"/>
        <n v="0.76"/>
        <n v="12.1" u="1"/>
        <n v="44.5" u="1"/>
        <n v="12.5" u="1"/>
        <n v="12.9" u="1"/>
        <n v="4.3" u="1"/>
        <n v="20.7" u="1"/>
        <n v="34" u="1"/>
        <n v="4.5" u="1"/>
        <n v="0.2" u="1"/>
        <n v="13.4" u="1"/>
        <n v="12.3" u="1"/>
        <n v="12.7" u="1"/>
        <n v="21.7" u="1"/>
        <n v="0.6" u="1"/>
        <n v="1.6" u="1"/>
        <n v="13.1" u="1"/>
        <n v="22.5" u="1"/>
        <n v="23.3" u="1"/>
        <n v="1.7" u="1"/>
        <n v="4.5999999999999996" u="1"/>
        <n v="13.5" u="1"/>
        <n v="1.8" u="1"/>
        <n v="4.8" u="1"/>
        <n v="13.2" u="1"/>
        <n v="39.6" u="1"/>
        <n v="4.0199999999999996" u="1"/>
        <n v="5" u="1"/>
        <n v="23.5" u="1"/>
        <n v="24.3" u="1"/>
        <n v="14" u="1"/>
        <n v="22.9" u="1"/>
        <n v="38.4" u="1"/>
        <n v="13.3" u="1"/>
        <n v="14.1" u="1"/>
        <n v="24.5" u="1"/>
        <n v="25.3" u="1"/>
        <n v="4.9000000000000004" u="1"/>
        <n v="5.0999999999999996" u="1"/>
        <n v="14.5" u="1"/>
        <n v="23.1" u="1"/>
        <n v="5.3" u="1"/>
        <n v="26.3" u="1"/>
        <n v="15" u="1"/>
        <n v="15.4" u="1"/>
        <n v="0.7" u="1"/>
        <n v="14.7" u="1"/>
        <n v="26.5" u="1"/>
        <n v="5.4" u="1"/>
        <n v="5.6" u="1"/>
        <n v="25.1" u="1"/>
        <n v="33.5" u="1"/>
        <n v="2" u="1"/>
        <n v="2.1" u="1"/>
        <n v="32.299999999999997" u="1"/>
        <n v="6" u="1"/>
        <n v="16" u="1"/>
        <n v="0.96" u="1"/>
        <n v="16.2" u="1"/>
        <n v="6.1" u="1"/>
        <n v="17" u="1"/>
        <n v="27.9" u="1"/>
        <n v="6.3" u="1"/>
        <n v="15.8" u="1"/>
        <n v="16.399999999999999" u="1"/>
        <n v="0.1" u="1"/>
        <n v="6.5" u="1"/>
        <n v="6.7" u="1"/>
        <n v="30.3" u="1"/>
        <n v="18" u="1"/>
        <n v="0.3" u="1"/>
        <n v="0.8" u="1"/>
        <n v="17.399999999999999" u="1"/>
        <n v="29.7" u="1"/>
        <n v="38.299999999999997" u="1"/>
        <n v="2.2999999999999998" u="1"/>
        <n v="6.95" u="1"/>
        <n v="18.2" u="1"/>
        <n v="65" u="1"/>
        <n v="0.9" u="1"/>
        <n v="6.4" u="1"/>
        <n v="6.6" u="1"/>
        <n v="19" u="1"/>
        <n v="2.5" u="1"/>
        <n v="7" u="1"/>
        <n v="31.5" u="1"/>
        <n v="11.22" u="1"/>
        <n v="33" u="1"/>
        <n v="7.1" u="1"/>
        <n v="21" u="1"/>
        <n v="21.8" u="1"/>
        <n v="7.3" u="1"/>
        <n v="20.399999999999999" u="1"/>
        <n v="7.5" u="1"/>
        <n v="22" u="1"/>
        <n v="22.8" u="1"/>
        <n v="2.7" u="1"/>
        <n v="1" u="1"/>
        <n v="2.9" u="1"/>
        <n v="23" u="1"/>
        <n v="23.8" u="1"/>
        <n v="34.200000000000003" u="1"/>
        <n v="3" u="1"/>
        <n v="3.1" u="1"/>
        <n v="21.6" u="1"/>
        <n v="22.4" u="1"/>
        <n v="8" u="1"/>
        <n v="24" u="1"/>
        <n v="24.8" u="1"/>
        <n v="22.6" u="1"/>
        <n v="8.5" u="1"/>
        <n v="8.9" u="1"/>
        <n v="24.2" u="1"/>
        <n v="25" u="1"/>
        <n v="8.6" u="1"/>
        <n v="23.6" u="1"/>
        <n v="9" u="1"/>
        <n v="0.4" u="1"/>
        <n v="8.6999999999999993" u="1"/>
        <n v="26" u="1"/>
        <n v="9.1" u="1"/>
        <n v="72" u="1"/>
        <n v="3.2" u="1"/>
        <n v="3.3" u="1"/>
        <n v="9.9" u="1"/>
        <n v="10.53" u="1"/>
        <n v="26.2" u="1"/>
        <n v="45" u="1"/>
        <n v="8.8000000000000007" u="1"/>
        <n v="9.1999999999999993" u="1"/>
        <n v="27" u="1"/>
        <n v="3.5" u="1"/>
        <n v="9.6" u="1"/>
        <n v="16.3" u="1"/>
        <n v="25.6" u="1"/>
        <n v="26.4" u="1"/>
        <n v="33.299999999999997" u="1"/>
        <n v="9.3000000000000007" u="1"/>
        <n v="9.6999999999999993" u="1"/>
        <n v="28" u="1"/>
        <n v="16.5" u="1"/>
        <n v="10.9" u="1"/>
        <n v="29" u="1"/>
        <n v="17.5" u="1"/>
        <n v="11" u="1"/>
        <n v="13.725" u="1"/>
        <n v="10.3" u="1"/>
        <n v="10.7" u="1"/>
        <n v="30" u="1"/>
        <n v="1.4" u="1"/>
        <n v="18.5" u="1"/>
        <n v="0.5" u="1"/>
        <n v="17.899999999999999" u="1"/>
        <n v="1.5" u="1"/>
        <n v="10.8" u="1"/>
        <n v="11.2" u="1"/>
        <n v="4" u="1"/>
        <n v="4.2" u="1"/>
        <n v="20.3" u="1"/>
        <n v="29.6" u="1"/>
        <n v="42.5" u="1"/>
        <n v="12.4" u="1"/>
        <n v="18.100000000000001" u="1"/>
        <n v="11.7" u="1"/>
        <n v="19.7" u="1"/>
        <n v="32" u="1"/>
      </sharedItems>
    </cacheField>
    <cacheField name="JUEVES" numFmtId="0">
      <sharedItems containsString="0" containsBlank="1" containsNumber="1" minValue="0.3" maxValue="50" count="180">
        <m/>
        <n v="14.4"/>
        <n v="0.72"/>
        <n v="17.399999999999999"/>
        <n v="10"/>
        <n v="11.22"/>
        <n v="21.5"/>
        <n v="3"/>
        <n v="6"/>
        <n v="12.1" u="1"/>
        <n v="21.3" u="1"/>
        <n v="12.5" u="1"/>
        <n v="4.3" u="1"/>
        <n v="11.8" u="1"/>
        <n v="12.2" u="1"/>
        <n v="20.7" u="1"/>
        <n v="4.5" u="1"/>
        <n v="31.6" u="1"/>
        <n v="13" u="1"/>
        <n v="12.3" u="1"/>
        <n v="12.7" u="1"/>
        <n v="21.7" u="1"/>
        <n v="0.6" u="1"/>
        <n v="1.6" u="1"/>
        <n v="13.1" u="1"/>
        <n v="22.5" u="1"/>
        <n v="23.3" u="1"/>
        <n v="1.7" u="1"/>
        <n v="4.4000000000000004" u="1"/>
        <n v="4.5999999999999996" u="1"/>
        <n v="13.5" u="1"/>
        <n v="1.8" u="1"/>
        <n v="4.8" u="1"/>
        <n v="13.2" u="1"/>
        <n v="5" u="1"/>
        <n v="23.5" u="1"/>
        <n v="24.3" u="1"/>
        <n v="14" u="1"/>
        <n v="13.3" u="1"/>
        <n v="14.1" u="1"/>
        <n v="24.5" u="1"/>
        <n v="4.9000000000000004" u="1"/>
        <n v="14.5" u="1"/>
        <n v="23.1" u="1"/>
        <n v="5.5" u="1"/>
        <n v="26.3" u="1"/>
        <n v="15" u="1"/>
        <n v="15.4" u="1"/>
        <n v="0.7" u="1"/>
        <n v="14.7" u="1"/>
        <n v="25.7" u="1"/>
        <n v="3.18" u="1"/>
        <n v="26.5" u="1"/>
        <n v="5.4" u="1"/>
        <n v="5.6" u="1"/>
        <n v="15.5" u="1"/>
        <n v="25.1" u="1"/>
        <n v="2" u="1"/>
        <n v="5.8" u="1"/>
        <n v="32.299999999999997" u="1"/>
        <n v="15.6" u="1"/>
        <n v="16" u="1"/>
        <n v="34.299999999999997" u="1"/>
        <n v="16.2" u="1"/>
        <n v="28.5" u="1"/>
        <n v="6.1" u="1"/>
        <n v="6.3" u="1"/>
        <n v="15.8" u="1"/>
        <n v="16.399999999999999" u="1"/>
        <n v="50" u="1"/>
        <n v="6.5" u="1"/>
        <n v="6.7" u="1"/>
        <n v="29.5" u="1"/>
        <n v="30.3" u="1"/>
        <n v="18" u="1"/>
        <n v="0.3" u="1"/>
        <n v="0.8" u="1"/>
        <n v="16.600000000000001" u="1"/>
        <n v="29.7" u="1"/>
        <n v="2.2999999999999998" u="1"/>
        <n v="39.9" u="1"/>
        <n v="0.9" u="1"/>
        <n v="6.4" u="1"/>
        <n v="6.6" u="1"/>
        <n v="2.5" u="1"/>
        <n v="2.6" u="1"/>
        <n v="17.600000000000001" u="1"/>
        <n v="18.399999999999999" u="1"/>
        <n v="7" u="1"/>
        <n v="7.2" u="1"/>
        <n v="31.5" u="1"/>
        <n v="20" u="1"/>
        <n v="30.1" u="1"/>
        <n v="30.9" u="1"/>
        <n v="43.5" u="1"/>
        <n v="13.28" u="1"/>
        <n v="6.9" u="1"/>
        <n v="7.1" u="1"/>
        <n v="21.8" u="1"/>
        <n v="7.3" u="1"/>
        <n v="44.3" u="1"/>
        <n v="7.5" u="1"/>
        <n v="35" u="1"/>
        <n v="22" u="1"/>
        <n v="22.8" u="1"/>
        <n v="21.4" u="1"/>
        <n v="1" u="1"/>
        <n v="2.9" u="1"/>
        <n v="23" u="1"/>
        <n v="23.8" u="1"/>
        <n v="34.200000000000003" u="1"/>
        <n v="3.1" u="1"/>
        <n v="7.8" u="1"/>
        <n v="21.6" u="1"/>
        <n v="8" u="1"/>
        <n v="39" u="1"/>
        <n v="24" u="1"/>
        <n v="24.8" u="1"/>
        <n v="8.5" u="1"/>
        <n v="8.9" u="1"/>
        <n v="24.2" u="1"/>
        <n v="25" u="1"/>
        <n v="8.6" u="1"/>
        <n v="23.6" u="1"/>
        <n v="9" u="1"/>
        <n v="0.4" u="1"/>
        <n v="26" u="1"/>
        <n v="1.1000000000000001" u="1"/>
        <n v="9.1" u="1"/>
        <n v="24.6" u="1"/>
        <n v="32.5" u="1"/>
        <n v="3.2" u="1"/>
        <n v="3.3" u="1"/>
        <n v="9.5" u="1"/>
        <n v="9.9" u="1"/>
        <n v="26.2" u="1"/>
        <n v="45" u="1"/>
        <n v="1.3" u="1"/>
        <n v="3.4" u="1"/>
        <n v="8.8000000000000007" u="1"/>
        <n v="9.1999999999999993" u="1"/>
        <n v="3.5" u="1"/>
        <n v="9.6" u="1"/>
        <n v="16.3" u="1"/>
        <n v="25.6" u="1"/>
        <n v="33.299999999999997" u="1"/>
        <n v="9.3000000000000007" u="1"/>
        <n v="9.6999999999999993" u="1"/>
        <n v="28" u="1"/>
        <n v="16.5" u="1"/>
        <n v="10.5" u="1"/>
        <n v="10.9" u="1"/>
        <n v="12.16" u="1"/>
        <n v="29" u="1"/>
        <n v="3.75" u="1"/>
        <n v="17.5" u="1"/>
        <n v="11" u="1"/>
        <n v="16.100000000000001" u="1"/>
        <n v="16.899999999999999" u="1"/>
        <n v="10.3" u="1"/>
        <n v="10.7" u="1"/>
        <n v="30" u="1"/>
        <n v="1.4" u="1"/>
        <n v="11.1" u="1"/>
        <n v="0.5" u="1"/>
        <n v="3.8" u="1"/>
        <n v="11.5" u="1"/>
        <n v="11.9" u="1"/>
        <n v="17.100000000000001" u="1"/>
        <n v="17.899999999999999" u="1"/>
        <n v="1.5" u="1"/>
        <n v="4" u="1"/>
        <n v="4.2" u="1"/>
        <n v="20.3" u="1"/>
        <n v="29.6" u="1"/>
        <n v="42.5" u="1"/>
        <n v="12" u="1"/>
        <n v="12.4" u="1"/>
        <n v="18.100000000000001" u="1"/>
        <n v="11.7" u="1"/>
      </sharedItems>
    </cacheField>
    <cacheField name="VIERNES" numFmtId="0">
      <sharedItems containsString="0" containsBlank="1" containsNumber="1" minValue="0.1" maxValue="45" count="184">
        <m/>
        <n v="12"/>
        <n v="13.23"/>
        <n v="0.96"/>
        <n v="18"/>
        <n v="22.42"/>
        <n v="1.86"/>
        <n v="2.5499999999999998"/>
        <n v="7.56"/>
        <n v="12.1" u="1"/>
        <n v="20.5" u="1"/>
        <n v="21.3" u="1"/>
        <n v="4.0999999999999996" u="1"/>
        <n v="12.5" u="1"/>
        <n v="12.9" u="1"/>
        <n v="4.3" u="1"/>
        <n v="20.7" u="1"/>
        <n v="4.5" u="1"/>
        <n v="21.5" u="1"/>
        <n v="31.6" u="1"/>
        <n v="0.2" u="1"/>
        <n v="13" u="1"/>
        <n v="12.3" u="1"/>
        <n v="12.7" u="1"/>
        <n v="21.7" u="1"/>
        <n v="0.6" u="1"/>
        <n v="1.6" u="1"/>
        <n v="13.1" u="1"/>
        <n v="22.5" u="1"/>
        <n v="23.3" u="1"/>
        <n v="1.7" u="1"/>
        <n v="4.4000000000000004" u="1"/>
        <n v="4.5999999999999996" u="1"/>
        <n v="13.5" u="1"/>
        <n v="1.8" u="1"/>
        <n v="4.8" u="1"/>
        <n v="13.2" u="1"/>
        <n v="39.6" u="1"/>
        <n v="5" u="1"/>
        <n v="12.624000000000001" u="1"/>
        <n v="23.5" u="1"/>
        <n v="24.3" u="1"/>
        <n v="14" u="1"/>
        <n v="14.4" u="1"/>
        <n v="38.4" u="1"/>
        <n v="13.3" u="1"/>
        <n v="14.1" u="1"/>
        <n v="24.5" u="1"/>
        <n v="25.3" u="1"/>
        <n v="4.9000000000000004" u="1"/>
        <n v="5.0999999999999996" u="1"/>
        <n v="23.1" u="1"/>
        <n v="5.5" u="1"/>
        <n v="25.5" u="1"/>
        <n v="26.3" u="1"/>
        <n v="5.15" u="1"/>
        <n v="15" u="1"/>
        <n v="15.4" u="1"/>
        <n v="0.7" u="1"/>
        <n v="14.7" u="1"/>
        <n v="25.7" u="1"/>
        <n v="5.4" u="1"/>
        <n v="5.6" u="1"/>
        <n v="15.5" u="1"/>
        <n v="25.1" u="1"/>
        <n v="2" u="1"/>
        <n v="0.86" u="1"/>
        <n v="6" u="1"/>
        <n v="15.6" u="1"/>
        <n v="16" u="1"/>
        <n v="34.299999999999997" u="1"/>
        <n v="16.2" u="1"/>
        <n v="6.1" u="1"/>
        <n v="17" u="1"/>
        <n v="17.8" u="1"/>
        <n v="27.9" u="1"/>
        <n v="2.25" u="1"/>
        <n v="6.3" u="1"/>
        <n v="15.8" u="1"/>
        <n v="16.399999999999999" u="1"/>
        <n v="0.1" u="1"/>
        <n v="6.5" u="1"/>
        <n v="18.8" u="1"/>
        <n v="0.3" u="1"/>
        <n v="0.8" u="1"/>
        <n v="17.399999999999999" u="1"/>
        <n v="2.2999999999999998" u="1"/>
        <n v="18.2" u="1"/>
        <n v="31.3" u="1"/>
        <n v="39.9" u="1"/>
        <n v="0.9" u="1"/>
        <n v="6.4" u="1"/>
        <n v="6.6" u="1"/>
        <n v="2.5" u="1"/>
        <n v="6.8" u="1"/>
        <n v="18.399999999999999" u="1"/>
        <n v="7" u="1"/>
        <n v="30.1" u="1"/>
        <n v="30.9" u="1"/>
        <n v="7.1" u="1"/>
        <n v="21.8" u="1"/>
        <n v="7.3" u="1"/>
        <n v="44.3" u="1"/>
        <n v="7.5" u="1"/>
        <n v="21.2" u="1"/>
        <n v="35" u="1"/>
        <n v="22" u="1"/>
        <n v="22.8" u="1"/>
        <n v="2.7" u="1"/>
        <n v="2.8" u="1"/>
        <n v="1" u="1"/>
        <n v="2.9" u="1"/>
        <n v="7.4" u="1"/>
        <n v="23" u="1"/>
        <n v="23.8" u="1"/>
        <n v="34.200000000000003" u="1"/>
        <n v="35.729999999999997" u="1"/>
        <n v="3" u="1"/>
        <n v="3.1" u="1"/>
        <n v="7.8" u="1"/>
        <n v="21.6" u="1"/>
        <n v="22.4" u="1"/>
        <n v="8" u="1"/>
        <n v="39" u="1"/>
        <n v="0.48" u="1"/>
        <n v="24" u="1"/>
        <n v="22.6" u="1"/>
        <n v="39.4" u="1"/>
        <n v="8.9" u="1"/>
        <n v="25" u="1"/>
        <n v="8.6" u="1"/>
        <n v="23.6" u="1"/>
        <n v="9" u="1"/>
        <n v="0.4" u="1"/>
        <n v="26" u="1"/>
        <n v="3.2" u="1"/>
        <n v="3.3" u="1"/>
        <n v="9.5" u="1"/>
        <n v="9.9" u="1"/>
        <n v="26.2" u="1"/>
        <n v="45" u="1"/>
        <n v="1.3" u="1"/>
        <n v="3.4" u="1"/>
        <n v="9.1999999999999993" u="1"/>
        <n v="32.9" u="1"/>
        <n v="3.5" u="1"/>
        <n v="9.6" u="1"/>
        <n v="16.3" u="1"/>
        <n v="25.6" u="1"/>
        <n v="26.4" u="1"/>
        <n v="10" u="1"/>
        <n v="33.299999999999997" u="1"/>
        <n v="9.6999999999999993" u="1"/>
        <n v="16.5" u="1"/>
        <n v="10.9" u="1"/>
        <n v="29" u="1"/>
        <n v="17.5" u="1"/>
        <n v="38.5" u="1"/>
        <n v="11" u="1"/>
        <n v="16.100000000000001" u="1"/>
        <n v="10.3" u="1"/>
        <n v="10.7" u="1"/>
        <n v="30" u="1"/>
        <n v="38.9" u="1"/>
        <n v="1.4" u="1"/>
        <n v="11.1" u="1"/>
        <n v="18.5" u="1"/>
        <n v="0.5" u="1"/>
        <n v="11.9" u="1"/>
        <n v="17.100000000000001" u="1"/>
        <n v="17.899999999999999" u="1"/>
        <n v="1.5" u="1"/>
        <n v="3.9" u="1"/>
        <n v="11.2" u="1"/>
        <n v="31" u="1"/>
        <n v="4" u="1"/>
        <n v="20.3" u="1"/>
        <n v="29.6" u="1"/>
        <n v="42.5" u="1"/>
        <n v="12.4" u="1"/>
        <n v="11.7" u="1"/>
        <n v="19.7" u="1"/>
        <n v="28.08" u="1"/>
        <n v="32" u="1"/>
      </sharedItems>
    </cacheField>
    <cacheField name="SABADO " numFmtId="0">
      <sharedItems containsString="0" containsBlank="1" containsNumber="1" minValue="0.1" maxValue="66" count="196">
        <m/>
        <n v="14.4"/>
        <n v="25.35"/>
        <n v="0.93"/>
        <n v="12"/>
        <n v="4.5"/>
        <n v="1.08"/>
        <n v="20.8"/>
        <n v="2.58"/>
        <n v="2.5"/>
        <n v="12.1" u="1"/>
        <n v="20.5" u="1"/>
        <n v="21.3" u="1"/>
        <n v="4.0999999999999996" u="1"/>
        <n v="12.5" u="1"/>
        <n v="12.9" u="1"/>
        <n v="32.4" u="1"/>
        <n v="4.3" u="1"/>
        <n v="11.8" u="1"/>
        <n v="12.2" u="1"/>
        <n v="20.7" u="1"/>
        <n v="12.6" u="1"/>
        <n v="21.5" u="1"/>
        <n v="0.2" u="1"/>
        <n v="13" u="1"/>
        <n v="12.3" u="1"/>
        <n v="12.7" u="1"/>
        <n v="0.6" u="1"/>
        <n v="1.6" u="1"/>
        <n v="13.1" u="1"/>
        <n v="22.5" u="1"/>
        <n v="23.3" u="1"/>
        <n v="1.7" u="1"/>
        <n v="4.4000000000000004" u="1"/>
        <n v="4.5999999999999996" u="1"/>
        <n v="13.5" u="1"/>
        <n v="1.8" u="1"/>
        <n v="4.8" u="1"/>
        <n v="13.2" u="1"/>
        <n v="39.6" u="1"/>
        <n v="5" u="1"/>
        <n v="23.5" u="1"/>
        <n v="24.3" u="1"/>
        <n v="14" u="1"/>
        <n v="38.4" u="1"/>
        <n v="13.3" u="1"/>
        <n v="14.1" u="1"/>
        <n v="24.5" u="1"/>
        <n v="25.3" u="1"/>
        <n v="4.9000000000000004" u="1"/>
        <n v="5.0999999999999996" u="1"/>
        <n v="14.5" u="1"/>
        <n v="23.1" u="1"/>
        <n v="66" u="1"/>
        <n v="6.48" u="1"/>
        <n v="26.3" u="1"/>
        <n v="15" u="1"/>
        <n v="15.4" u="1"/>
        <n v="0.7" u="1"/>
        <n v="14.7" u="1"/>
        <n v="25.7" u="1"/>
        <n v="26.5" u="1"/>
        <n v="5.4" u="1"/>
        <n v="5.6" u="1"/>
        <n v="15.5" u="1"/>
        <n v="25.1" u="1"/>
        <n v="2" u="1"/>
        <n v="2.1" u="1"/>
        <n v="32.299999999999997" u="1"/>
        <n v="6" u="1"/>
        <n v="15.6" u="1"/>
        <n v="32.909999999999997" u="1"/>
        <n v="16" u="1"/>
        <n v="0.96" u="1"/>
        <n v="34.299999999999997" u="1"/>
        <n v="16.2" u="1"/>
        <n v="6.1" u="1"/>
        <n v="17" u="1"/>
        <n v="6.3" u="1"/>
        <n v="15.8" u="1"/>
        <n v="16.399999999999999" u="1"/>
        <n v="0.1" u="1"/>
        <n v="6.5" u="1"/>
        <n v="6.7" u="1"/>
        <n v="29.5" u="1"/>
        <n v="18" u="1"/>
        <n v="28.9" u="1"/>
        <n v="0.8" u="1"/>
        <n v="17.399999999999999" u="1"/>
        <n v="29.7" u="1"/>
        <n v="2.2999999999999998" u="1"/>
        <n v="18.2" u="1"/>
        <n v="31.3" u="1"/>
        <n v="39.9" u="1"/>
        <n v="0.9" u="1"/>
        <n v="2.4" u="1"/>
        <n v="6.4" u="1"/>
        <n v="6.6" u="1"/>
        <n v="6.8" u="1"/>
        <n v="18.399999999999999" u="1"/>
        <n v="7" u="1"/>
        <n v="31.5" u="1"/>
        <n v="20" u="1"/>
        <n v="30.1" u="1"/>
        <n v="30.9" u="1"/>
        <n v="33" u="1"/>
        <n v="6.9" u="1"/>
        <n v="7.1" u="1"/>
        <n v="21.8" u="1"/>
        <n v="7.3" u="1"/>
        <n v="16.21" u="1"/>
        <n v="20.399999999999999" u="1"/>
        <n v="44.3" u="1"/>
        <n v="7.5" u="1"/>
        <n v="7.7" u="1"/>
        <n v="35" u="1"/>
        <n v="22" u="1"/>
        <n v="22.8" u="1"/>
        <n v="2.7" u="1"/>
        <n v="2.8" u="1"/>
        <n v="1" u="1"/>
        <n v="2.9" u="1"/>
        <n v="7.4" u="1"/>
        <n v="7.6" u="1"/>
        <n v="23" u="1"/>
        <n v="23.8" u="1"/>
        <n v="34.200000000000003" u="1"/>
        <n v="3" u="1"/>
        <n v="3.1" u="1"/>
        <n v="7.8" u="1"/>
        <n v="21.6" u="1"/>
        <n v="22.4" u="1"/>
        <n v="8" u="1"/>
        <n v="24" u="1"/>
        <n v="8.1" u="1"/>
        <n v="22.6" u="1"/>
        <n v="8.5" u="1"/>
        <n v="8.9" u="1"/>
        <n v="24.2" u="1"/>
        <n v="8.1999999999999993" u="1"/>
        <n v="25" u="1"/>
        <n v="8.6" u="1"/>
        <n v="23.6" u="1"/>
        <n v="9" u="1"/>
        <n v="0.4" u="1"/>
        <n v="26" u="1"/>
        <n v="1.1000000000000001" u="1"/>
        <n v="9.1" u="1"/>
        <n v="24.6" u="1"/>
        <n v="1.2" u="1"/>
        <n v="3.3" u="1"/>
        <n v="9.9" u="1"/>
        <n v="26.2" u="1"/>
        <n v="1.3" u="1"/>
        <n v="3.4" u="1"/>
        <n v="8.8000000000000007" u="1"/>
        <n v="9.1999999999999993" u="1"/>
        <n v="27" u="1"/>
        <n v="3.5" u="1"/>
        <n v="9.6" u="1"/>
        <n v="16.3" u="1"/>
        <n v="10" u="1"/>
        <n v="33.299999999999997" u="1"/>
        <n v="9.3000000000000007" u="1"/>
        <n v="9.6999999999999993" u="1"/>
        <n v="28" u="1"/>
        <n v="16.5" u="1"/>
        <n v="4.68" u="1"/>
        <n v="10.5" u="1"/>
        <n v="10.9" u="1"/>
        <n v="9.8000000000000007" u="1"/>
        <n v="29" u="1"/>
        <n v="17.5" u="1"/>
        <n v="11" u="1"/>
        <n v="10.3" u="1"/>
        <n v="10.7" u="1"/>
        <n v="30" u="1"/>
        <n v="38.9" u="1"/>
        <n v="1.4" u="1"/>
        <n v="11.1" u="1"/>
        <n v="0.5" u="1"/>
        <n v="9.5399999999999991" u="1"/>
        <n v="11.9" u="1"/>
        <n v="12.93" u="1"/>
        <n v="17.100000000000001" u="1"/>
        <n v="17.899999999999999" u="1"/>
        <n v="39.299999999999997" u="1"/>
        <n v="1.5" u="1"/>
        <n v="11.2" u="1"/>
        <n v="31" u="1"/>
        <n v="4" u="1"/>
        <n v="20.3" u="1"/>
        <n v="29.6" u="1"/>
        <n v="42.5" u="1"/>
        <n v="11.7" u="1"/>
        <n v="19.7" u="1"/>
      </sharedItems>
    </cacheField>
    <cacheField name="DOMINGO" numFmtId="0">
      <sharedItems containsString="0" containsBlank="1" containsNumber="1" minValue="0.1" maxValue="73.5" count="188">
        <m/>
        <n v="12"/>
        <n v="65"/>
        <n v="3.96"/>
        <n v="21.75"/>
        <n v="10"/>
        <n v="0.72"/>
        <n v="2.41"/>
        <n v="5.04"/>
        <n v="12.1" u="1"/>
        <n v="20.5" u="1"/>
        <n v="21.3" u="1"/>
        <n v="12.5" u="1"/>
        <n v="12.9" u="1"/>
        <n v="11.8" u="1"/>
        <n v="12.2" u="1"/>
        <n v="20.7" u="1"/>
        <n v="34" u="1"/>
        <n v="4.5" u="1"/>
        <n v="12.6" u="1"/>
        <n v="21.5" u="1"/>
        <n v="31.6" u="1"/>
        <n v="0.2" u="1"/>
        <n v="13" u="1"/>
        <n v="12.3" u="1"/>
        <n v="21.63" u="1"/>
        <n v="0.6" u="1"/>
        <n v="1.6" u="1"/>
        <n v="13.1" u="1"/>
        <n v="22.5" u="1"/>
        <n v="23.3" u="1"/>
        <n v="1.7" u="1"/>
        <n v="4.4000000000000004" u="1"/>
        <n v="4.5999999999999996" u="1"/>
        <n v="13.5" u="1"/>
        <n v="1.8" u="1"/>
        <n v="4.8" u="1"/>
        <n v="13.2" u="1"/>
        <n v="5" u="1"/>
        <n v="5.2" u="1"/>
        <n v="23.5" u="1"/>
        <n v="24.3" u="1"/>
        <n v="14" u="1"/>
        <n v="14.4" u="1"/>
        <n v="22.9" u="1"/>
        <n v="38.4" u="1"/>
        <n v="13.3" u="1"/>
        <n v="40" u="1"/>
        <n v="14.1" u="1"/>
        <n v="24.5" u="1"/>
        <n v="25.3" u="1"/>
        <n v="4.9000000000000004" u="1"/>
        <n v="5.0999999999999996" u="1"/>
        <n v="14.5" u="1"/>
        <n v="23.1" u="1"/>
        <n v="25.5" u="1"/>
        <n v="26.3" u="1"/>
        <n v="15" u="1"/>
        <n v="15.4" u="1"/>
        <n v="0.7" u="1"/>
        <n v="14.3" u="1"/>
        <n v="14.7" u="1"/>
        <n v="25.7" u="1"/>
        <n v="5.4" u="1"/>
        <n v="5.6" u="1"/>
        <n v="15.5" u="1"/>
        <n v="25.1" u="1"/>
        <n v="2" u="1"/>
        <n v="6" u="1"/>
        <n v="6.2" u="1"/>
        <n v="15.6" u="1"/>
        <n v="16" u="1"/>
        <n v="16.2" u="1"/>
        <n v="6.1" u="1"/>
        <n v="27.9" u="1"/>
        <n v="2.25" u="1"/>
        <n v="6.3" u="1"/>
        <n v="16.399999999999999" u="1"/>
        <n v="0.1" u="1"/>
        <n v="6.5" u="1"/>
        <n v="0.3" u="1"/>
        <n v="0.8" u="1"/>
        <n v="17.399999999999999" u="1"/>
        <n v="29.7" u="1"/>
        <n v="2.2999999999999998" u="1"/>
        <n v="18.2" u="1"/>
        <n v="39.9" u="1"/>
        <n v="0.9" u="1"/>
        <n v="2.4" u="1"/>
        <n v="6.4" u="1"/>
        <n v="6.6" u="1"/>
        <n v="2.5" u="1"/>
        <n v="6.8" u="1"/>
        <n v="17.600000000000001" u="1"/>
        <n v="18.399999999999999" u="1"/>
        <n v="7" u="1"/>
        <n v="31.5" u="1"/>
        <n v="20" u="1"/>
        <n v="20.8" u="1"/>
        <n v="30.1" u="1"/>
        <n v="30.9" u="1"/>
        <n v="12.88" u="1"/>
        <n v="6.9" u="1"/>
        <n v="7.1" u="1"/>
        <n v="21.8" u="1"/>
        <n v="20.399999999999999" u="1"/>
        <n v="44.3" u="1"/>
        <n v="7.5" u="1"/>
        <n v="35" u="1"/>
        <n v="22" u="1"/>
        <n v="22.8" u="1"/>
        <n v="2.7" u="1"/>
        <n v="1" u="1"/>
        <n v="2.9" u="1"/>
        <n v="7.4" u="1"/>
        <n v="23" u="1"/>
        <n v="34.200000000000003" u="1"/>
        <n v="3" u="1"/>
        <n v="3.1" u="1"/>
        <n v="7.8" u="1"/>
        <n v="21.6" u="1"/>
        <n v="8" u="1"/>
        <n v="0.48" u="1"/>
        <n v="24" u="1"/>
        <n v="24.8" u="1"/>
        <n v="8.1" u="1"/>
        <n v="22.6" u="1"/>
        <n v="8.5" u="1"/>
        <n v="8.9" u="1"/>
        <n v="24.2" u="1"/>
        <n v="25" u="1"/>
        <n v="8.6" u="1"/>
        <n v="23.6" u="1"/>
        <n v="9" u="1"/>
        <n v="20.55" u="1"/>
        <n v="0.4" u="1"/>
        <n v="26" u="1"/>
        <n v="28.06" u="1"/>
        <n v="1.1000000000000001" u="1"/>
        <n v="9.1" u="1"/>
        <n v="24.6" u="1"/>
        <n v="3.2" u="1"/>
        <n v="3.3" u="1"/>
        <n v="9.9" u="1"/>
        <n v="26.2" u="1"/>
        <n v="45" u="1"/>
        <n v="1.3" u="1"/>
        <n v="8.8000000000000007" u="1"/>
        <n v="9.1999999999999993" u="1"/>
        <n v="32.9" u="1"/>
        <n v="3.5" u="1"/>
        <n v="9.6" u="1"/>
        <n v="16.3" u="1"/>
        <n v="26.4" u="1"/>
        <n v="33.299999999999997" u="1"/>
        <n v="9.3000000000000007" u="1"/>
        <n v="9.6999999999999993" u="1"/>
        <n v="16.5" u="1"/>
        <n v="10.5" u="1"/>
        <n v="10.9" u="1"/>
        <n v="29" u="1"/>
        <n v="1.08" u="1"/>
        <n v="17.5" u="1"/>
        <n v="11" u="1"/>
        <n v="73.5" u="1"/>
        <n v="10.3" u="1"/>
        <n v="17.7" u="1"/>
        <n v="30" u="1"/>
        <n v="38.9" u="1"/>
        <n v="1.4" u="1"/>
        <n v="11.1" u="1"/>
        <n v="0.5" u="1"/>
        <n v="3.8" u="1"/>
        <n v="9.5399999999999991" u="1"/>
        <n v="11.9" u="1"/>
        <n v="17.100000000000001" u="1"/>
        <n v="17.899999999999999" u="1"/>
        <n v="1.5" u="1"/>
        <n v="11.2" u="1"/>
        <n v="31" u="1"/>
        <n v="4" u="1"/>
        <n v="11.6" u="1"/>
        <n v="20.3" u="1"/>
        <n v="29.6" u="1"/>
        <n v="42.5" u="1"/>
        <n v="18.100000000000001" u="1"/>
        <n v="19.7" u="1"/>
        <n v="32" u="1"/>
      </sharedItems>
    </cacheField>
    <cacheField name="LUNES" numFmtId="0">
      <sharedItems containsString="0" containsBlank="1" containsNumber="1" minValue="0.1" maxValue="45" count="188">
        <m/>
        <n v="14.4"/>
        <n v="31.55"/>
        <n v="12.12"/>
        <n v="5.19"/>
        <n v="3.84"/>
        <n v="12.1" u="1"/>
        <n v="21.3" u="1"/>
        <n v="12.9" u="1"/>
        <n v="4.3" u="1"/>
        <n v="11.8" u="1"/>
        <n v="12.2" u="1"/>
        <n v="20.7" u="1"/>
        <n v="21.96" u="1"/>
        <n v="4.5" u="1"/>
        <n v="12.6" u="1"/>
        <n v="21.5" u="1"/>
        <n v="0.2" u="1"/>
        <n v="13" u="1"/>
        <n v="12.7" u="1"/>
        <n v="21.7" u="1"/>
        <n v="36" u="1"/>
        <n v="0.6" u="1"/>
        <n v="1.6" u="1"/>
        <n v="22.5" u="1"/>
        <n v="1.7" u="1"/>
        <n v="4.4000000000000004" u="1"/>
        <n v="4.5999999999999996" u="1"/>
        <n v="13.5" u="1"/>
        <n v="1.8" u="1"/>
        <n v="4.8" u="1"/>
        <n v="13.2" u="1"/>
        <n v="22.7" u="1"/>
        <n v="39.6" u="1"/>
        <n v="5" u="1"/>
        <n v="5.2" u="1"/>
        <n v="23.5" u="1"/>
        <n v="14" u="1"/>
        <n v="22.9" u="1"/>
        <n v="38.4" u="1"/>
        <n v="40" u="1"/>
        <n v="14.1" u="1"/>
        <n v="24.5" u="1"/>
        <n v="4.9000000000000004" u="1"/>
        <n v="5.0999999999999996" u="1"/>
        <n v="14.5" u="1"/>
        <n v="23.1" u="1"/>
        <n v="5.5" u="1"/>
        <n v="25.5" u="1"/>
        <n v="26.3" u="1"/>
        <n v="15" u="1"/>
        <n v="15.4" u="1"/>
        <n v="0.7" u="1"/>
        <n v="25.7" u="1"/>
        <n v="5.4" u="1"/>
        <n v="5.6" u="1"/>
        <n v="15.5" u="1"/>
        <n v="25.1" u="1"/>
        <n v="2" u="1"/>
        <n v="32.299999999999997" u="1"/>
        <n v="6" u="1"/>
        <n v="15.6" u="1"/>
        <n v="16" u="1"/>
        <n v="26.1" u="1"/>
        <n v="34.299999999999997" u="1"/>
        <n v="16.2" u="1"/>
        <n v="6.1" u="1"/>
        <n v="17" u="1"/>
        <n v="6.3" u="1"/>
        <n v="15.8" u="1"/>
        <n v="16.399999999999999" u="1"/>
        <n v="0.1" u="1"/>
        <n v="6.5" u="1"/>
        <n v="6.7" u="1"/>
        <n v="30.3" u="1"/>
        <n v="18" u="1"/>
        <n v="0.3" u="1"/>
        <n v="0.8" u="1"/>
        <n v="17.399999999999999" u="1"/>
        <n v="29.7" u="1"/>
        <n v="2.2999999999999998" u="1"/>
        <n v="30.5" u="1"/>
        <n v="39.9" u="1"/>
        <n v="0.9" u="1"/>
        <n v="2.4" u="1"/>
        <n v="2.99" u="1"/>
        <n v="6.4" u="1"/>
        <n v="6.6" u="1"/>
        <n v="2.5" u="1"/>
        <n v="2.6" u="1"/>
        <n v="6.8" u="1"/>
        <n v="17.600000000000001" u="1"/>
        <n v="18.399999999999999" u="1"/>
        <n v="7" u="1"/>
        <n v="31.5" u="1"/>
        <n v="11.22" u="1"/>
        <n v="20.8" u="1"/>
        <n v="30.1" u="1"/>
        <n v="5.04" u="1"/>
        <n v="33" u="1"/>
        <n v="6.9" u="1"/>
        <n v="7.1" u="1"/>
        <n v="21" u="1"/>
        <n v="21.8" u="1"/>
        <n v="20.399999999999999" u="1"/>
        <n v="44.3" u="1"/>
        <n v="7.5" u="1"/>
        <n v="7.7" u="1"/>
        <n v="35" u="1"/>
        <n v="22" u="1"/>
        <n v="22.8" u="1"/>
        <n v="2.7" u="1"/>
        <n v="1" u="1"/>
        <n v="2.9" u="1"/>
        <n v="7.4" u="1"/>
        <n v="23" u="1"/>
        <n v="23.8" u="1"/>
        <n v="3" u="1"/>
        <n v="3.1" u="1"/>
        <n v="7.8" u="1"/>
        <n v="21.6" u="1"/>
        <n v="8" u="1"/>
        <n v="24" u="1"/>
        <n v="24.8" u="1"/>
        <n v="8.1" u="1"/>
        <n v="22.6" u="1"/>
        <n v="24.2" u="1"/>
        <n v="25" u="1"/>
        <n v="8.6" u="1"/>
        <n v="23.6" u="1"/>
        <n v="9" u="1"/>
        <n v="0.4" u="1"/>
        <n v="8.3000000000000007" u="1"/>
        <n v="26" u="1"/>
        <n v="9.1" u="1"/>
        <n v="24.6" u="1"/>
        <n v="3.2" u="1"/>
        <n v="3.3" u="1"/>
        <n v="9.9" u="1"/>
        <n v="45" u="1"/>
        <n v="1.3" u="1"/>
        <n v="3.4" u="1"/>
        <n v="8.8000000000000007" u="1"/>
        <n v="9.1999999999999993" u="1"/>
        <n v="27" u="1"/>
        <n v="32.9" u="1"/>
        <n v="3.5" u="1"/>
        <n v="3.6" u="1"/>
        <n v="9.6" u="1"/>
        <n v="16.3" u="1"/>
        <n v="25.6" u="1"/>
        <n v="0.88" u="1"/>
        <n v="10" u="1"/>
        <n v="33.299999999999997" u="1"/>
        <n v="9.6999999999999993" u="1"/>
        <n v="28" u="1"/>
        <n v="16.5" u="1"/>
        <n v="21.95" u="1"/>
        <n v="10.5" u="1"/>
        <n v="10.9" u="1"/>
        <n v="17.5" u="1"/>
        <n v="11" u="1"/>
        <n v="10.3" u="1"/>
        <n v="10.7" u="1"/>
        <n v="17.7" u="1"/>
        <n v="30" u="1"/>
        <n v="30.8" u="1"/>
        <n v="38.9" u="1"/>
        <n v="1.4" u="1"/>
        <n v="11.1" u="1"/>
        <n v="18.5" u="1"/>
        <n v="0.5" u="1"/>
        <n v="5.18" u="1"/>
        <n v="11.9" u="1"/>
        <n v="17.100000000000001" u="1"/>
        <n v="1.5" u="1"/>
        <n v="11.2" u="1"/>
        <n v="31" u="1"/>
        <n v="4" u="1"/>
        <n v="4.2" u="1"/>
        <n v="20.3" u="1"/>
        <n v="29.6" u="1"/>
        <n v="42.5" u="1"/>
        <n v="12" u="1"/>
        <n v="12.4" u="1"/>
        <n v="18.100000000000001" u="1"/>
        <n v="19.7" u="1"/>
        <n v="3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m" refreshedDate="44576.395654629632" createdVersion="6" refreshedVersion="7" minRefreshableVersion="3" recordCount="24" xr:uid="{00000000-000A-0000-FFFF-FFFF1B000000}">
  <cacheSource type="worksheet">
    <worksheetSource ref="M30:S54" sheet="ORDENES "/>
  </cacheSource>
  <cacheFields count="7">
    <cacheField name="No.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PRODUCTO" numFmtId="0">
      <sharedItems count="27">
        <s v="CHULETA DE CERDO"/>
        <s v="LOMO DE CERDO"/>
        <s v="PIERNA DE CERDO EN TROZO"/>
        <s v="PIERNA DE CERDO MOLIDA"/>
        <s v="MERO EN FILETE CONGELADO"/>
        <s v="PECHUGA DE POLLO "/>
        <s v="PECHUGA DE POLLO DESHUESADA"/>
        <s v="PECHUGA  DESHUESADA EN BISTEC"/>
        <s v="PECHUGA DE POLLO  MÓLIDA"/>
        <s v="PIERNA Y MUSLO DE POLLO SIN PIEL EN FORMA DE PISTOLA"/>
        <s v="POLLO ENTERO"/>
        <s v="BISTEC DE PIERNA DE RES"/>
        <s v="CHAMBARETE DE RES"/>
        <s v="CUETE DE PIERNA DE RES"/>
        <s v="FALDA DE RES"/>
        <s v="PULPA DE RES EN TROZO"/>
        <s v="PULPA DE RES MOLIDA"/>
        <s v="HUEVO ENTERO"/>
        <s v="JAMÓN DE CERDO FINO CON 16% DE PROTEÍNA"/>
        <s v="JAMÓN DE PAVO"/>
        <s v="JAMÓN DE PECHUGA DE PAVO"/>
        <s v="MORTADELA"/>
        <s v="SALCHICHA DE CERDO VIENA"/>
        <s v="SALCHICHA DE PAVO VIENA"/>
        <s v="MERO" u="1"/>
        <s v="TOCINO" u="1"/>
        <s v="PIERNA Y MUSLO DE POLLO" u="1"/>
      </sharedItems>
    </cacheField>
    <cacheField name="LUNES" numFmtId="0">
      <sharedItems containsString="0" containsBlank="1" containsNumber="1" minValue="0.2" maxValue="14" count="21">
        <m/>
        <n v="10"/>
        <n v="6"/>
        <n v="4"/>
        <n v="12"/>
        <n v="0.2" u="1"/>
        <n v="13" u="1"/>
        <n v="5" u="1"/>
        <n v="14" u="1"/>
        <n v="0.25" u="1"/>
        <n v="2" u="1"/>
        <n v="6.5" u="1"/>
        <n v="7" u="1"/>
        <n v="1" u="1"/>
        <n v="3" u="1"/>
        <n v="8" u="1"/>
        <n v="9" u="1"/>
        <n v="0.4" u="1"/>
        <n v="11" u="1"/>
        <n v="0.5" u="1"/>
        <n v="1.5" u="1"/>
      </sharedItems>
    </cacheField>
    <cacheField name="MARTES" numFmtId="0">
      <sharedItems containsString="0" containsBlank="1" containsNumber="1" minValue="0.08" maxValue="40" count="34">
        <m/>
        <n v="6"/>
        <n v="10"/>
        <n v="2.5"/>
        <n v="5"/>
        <n v="12.5" u="1"/>
        <n v="0.2" u="1"/>
        <n v="13" u="1"/>
        <n v="13.5" u="1"/>
        <n v="14" u="1"/>
        <n v="40" u="1"/>
        <n v="5.5" u="1"/>
        <n v="15" u="1"/>
        <n v="0.25" u="1"/>
        <n v="2" u="1"/>
        <n v="0.08" u="1"/>
        <n v="17" u="1"/>
        <n v="0.3" u="1"/>
        <n v="11.25" u="1"/>
        <n v="7" u="1"/>
        <n v="20" u="1"/>
        <n v="35" u="1"/>
        <n v="0.26400000000000001" u="1"/>
        <n v="1" u="1"/>
        <n v="3" u="1"/>
        <n v="8" u="1"/>
        <n v="8.5" u="1"/>
        <n v="9" u="1"/>
        <n v="10.5" u="1"/>
        <n v="11" u="1"/>
        <n v="0.5" u="1"/>
        <n v="11.5" u="1"/>
        <n v="4" u="1"/>
        <n v="12" u="1"/>
      </sharedItems>
    </cacheField>
    <cacheField name="MIERCOLES" numFmtId="0">
      <sharedItems containsString="0" containsBlank="1" containsNumber="1" minValue="0.126" maxValue="16" count="25">
        <m/>
        <n v="2.5"/>
        <n v="1.5"/>
        <n v="4"/>
        <n v="13" u="1"/>
        <n v="5" u="1"/>
        <n v="14" u="1"/>
        <n v="15" u="1"/>
        <n v="0.25" u="1"/>
        <n v="2" u="1"/>
        <n v="6" u="1"/>
        <n v="16" u="1"/>
        <n v="0.3" u="1"/>
        <n v="7" u="1"/>
        <n v="0.16800000000000001" u="1"/>
        <n v="1" u="1"/>
        <n v="8" u="1"/>
        <n v="0.498" u="1"/>
        <n v="9" u="1"/>
        <n v="10" u="1"/>
        <n v="11" u="1"/>
        <n v="0.5" u="1"/>
        <n v="11.2" u="1"/>
        <n v="0.126" u="1"/>
        <n v="12" u="1"/>
      </sharedItems>
    </cacheField>
    <cacheField name="JUEVES" numFmtId="0">
      <sharedItems containsString="0" containsBlank="1" containsNumber="1" minValue="0.1" maxValue="16" count="26">
        <m/>
        <n v="5"/>
        <n v="4"/>
        <n v="4.5" u="1"/>
        <n v="0.2" u="1"/>
        <n v="13" u="1"/>
        <n v="14" u="1"/>
        <n v="5.25" u="1"/>
        <n v="15" u="1"/>
        <n v="0.25" u="1"/>
        <n v="2" u="1"/>
        <n v="6" u="1"/>
        <n v="16" u="1"/>
        <n v="0.1" u="1"/>
        <n v="0.3" u="1"/>
        <n v="7" u="1"/>
        <n v="1" u="1"/>
        <n v="3" u="1"/>
        <n v="8" u="1"/>
        <n v="9" u="1"/>
        <n v="10" u="1"/>
        <n v="9.3000000000000007" u="1"/>
        <n v="10.5" u="1"/>
        <n v="11" u="1"/>
        <n v="0.5" u="1"/>
        <n v="12" u="1"/>
      </sharedItems>
    </cacheField>
    <cacheField name="VIERNES" numFmtId="0">
      <sharedItems containsString="0" containsBlank="1" containsNumber="1" minValue="0.16" maxValue="50" count="33">
        <m/>
        <n v="1.5"/>
        <n v="5"/>
        <n v="0.16" u="1"/>
        <n v="0.2" u="1"/>
        <n v="13" u="1"/>
        <n v="14" u="1"/>
        <n v="40" u="1"/>
        <n v="11.583" u="1"/>
        <n v="15" u="1"/>
        <n v="0.25" u="1"/>
        <n v="2" u="1"/>
        <n v="6" u="1"/>
        <n v="50" u="1"/>
        <n v="0.3" u="1"/>
        <n v="7" u="1"/>
        <n v="0.28199999999999997" u="1"/>
        <n v="4.9169999999999998" u="1"/>
        <n v="35" u="1"/>
        <n v="22" u="1"/>
        <n v="14.91" u="1"/>
        <n v="1" u="1"/>
        <n v="3" u="1"/>
        <n v="8" u="1"/>
        <n v="24" u="1"/>
        <n v="45" u="1"/>
        <n v="2.6659999999999999" u="1"/>
        <n v="10" u="1"/>
        <n v="11" u="1"/>
        <n v="30" u="1"/>
        <n v="0.5" u="1"/>
        <n v="4" u="1"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m" refreshedDate="44576.39565648148" createdVersion="6" refreshedVersion="7" minRefreshableVersion="3" recordCount="24" xr:uid="{00000000-000A-0000-FFFF-FFFF31000000}">
  <cacheSource type="worksheet">
    <worksheetSource ref="M2:U26" sheet="ORDENES "/>
  </cacheSource>
  <cacheFields count="9">
    <cacheField name="No.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PRODUCTO" numFmtId="0">
      <sharedItems count="27">
        <s v="CHULETA DE CERDO"/>
        <s v="LOMO DE CERDO"/>
        <s v="PIERNA DE CERDO EN TROZO"/>
        <s v="PIERNA DE CERDO MOLIDA"/>
        <s v="MERO EN FILETE CONGELADO"/>
        <s v="PECHUGA DE POLLO "/>
        <s v="PECHUGA DE POLLO DESHUESADA"/>
        <s v="PECHUGA  DESHUESADA EN BISTEC"/>
        <s v="PECHUGA DE POLLO  MÓLIDA"/>
        <s v="PIERNA Y MUSLO DE POLLO SIN PIEL EN FORMA DE PISTOLA"/>
        <s v="POLLO ENTERO"/>
        <s v="BISTEC DE PIERNA DE RES"/>
        <s v="CHAMBARETE DE RES"/>
        <s v="CUETE DE PIERNA DE RES"/>
        <s v="FALDA DE RES"/>
        <s v="PULPA DE RES EN TROZO"/>
        <s v="PULPA DE RES MOLIDA"/>
        <s v="HUEVO ENTERO"/>
        <s v="JAMÓN DE CERDO FINO CON 16% DE PROTEÍNA"/>
        <s v="JAMÓN DE PAVO"/>
        <s v="JAMÓN DE PECHUGA DE PAVO"/>
        <s v="MORTADELA"/>
        <s v="SALCHICHA DE CERDO VIENA"/>
        <s v="SALCHICHA DE PAVO VIENA"/>
        <s v="MERO" u="1"/>
        <s v="TOCINO" u="1"/>
        <s v="PIERNA Y MUSLO DE POLLO" u="1"/>
      </sharedItems>
    </cacheField>
    <cacheField name="MARTES" numFmtId="0">
      <sharedItems containsString="0" containsBlank="1" containsNumber="1" minValue="0.21" maxValue="47" count="172">
        <m/>
        <n v="7"/>
        <n v="1"/>
        <n v="15"/>
        <n v="17"/>
        <n v="10"/>
        <n v="8"/>
        <n v="2"/>
        <n v="19.899999999999999" u="1"/>
        <n v="18.64" u="1"/>
        <n v="4.7" u="1"/>
        <n v="12.6" u="1"/>
        <n v="21.376000000000001" u="1"/>
        <n v="4.1500000000000004" u="1"/>
        <n v="13" u="1"/>
        <n v="0.55000000000000004" u="1"/>
        <n v="4.55" u="1"/>
        <n v="1.6" u="1"/>
        <n v="1.7" u="1"/>
        <n v="4.8" u="1"/>
        <n v="12.8" u="1"/>
        <n v="13.2" u="1"/>
        <n v="38" u="1"/>
        <n v="5" u="1"/>
        <n v="13.6" u="1"/>
        <n v="21.37" u="1"/>
        <n v="3.42" u="1"/>
        <n v="8.48" u="1"/>
        <n v="14.4" u="1"/>
        <n v="8.65" u="1"/>
        <n v="17.649999999999999" u="1"/>
        <n v="14.5" u="1"/>
        <n v="1.63" u="1"/>
        <n v="9.15" u="1"/>
        <n v="13.8" u="1"/>
        <n v="26.3" u="1"/>
        <n v="15.4" u="1"/>
        <n v="17.39" u="1"/>
        <n v="24.9" u="1"/>
        <n v="0.7" u="1"/>
        <n v="4.7699999999999996" u="1"/>
        <n v="12.34" u="1"/>
        <n v="17.59" u="1"/>
        <n v="28.56" u="1"/>
        <n v="5.4" u="1"/>
        <n v="2.1" u="1"/>
        <n v="14.8" u="1"/>
        <n v="15.2" u="1"/>
        <n v="6" u="1"/>
        <n v="15.6" u="1"/>
        <n v="0.21" u="1"/>
        <n v="16" u="1"/>
        <n v="16.8" u="1"/>
        <n v="37.950000000000003" u="1"/>
        <n v="0.96" u="1"/>
        <n v="15.3" u="1"/>
        <n v="6.45" u="1"/>
        <n v="9.5500000000000007" u="1"/>
        <n v="16.2" u="1"/>
        <n v="16.399999999999999" u="1"/>
        <n v="12.58" u="1"/>
        <n v="16.704999999999998" u="1"/>
        <n v="18" u="1"/>
        <n v="18.8" u="1"/>
        <n v="0.8" u="1"/>
        <n v="2.2000000000000002" u="1"/>
        <n v="0.9" u="1"/>
        <n v="2.4" u="1"/>
        <n v="6.4" u="1"/>
        <n v="6.6" u="1"/>
        <n v="11.35" u="1"/>
        <n v="19.8" u="1"/>
        <n v="2.5" u="1"/>
        <n v="7.98" u="1"/>
        <n v="7.2" u="1"/>
        <n v="6.85" u="1"/>
        <n v="9.09" u="1"/>
        <n v="20" u="1"/>
        <n v="20.8" u="1"/>
        <n v="18.600000000000001" u="1"/>
        <n v="19.399999999999999" u="1"/>
        <n v="34.06" u="1"/>
        <n v="7.25" u="1"/>
        <n v="12.961" u="1"/>
        <n v="0.27" u="1"/>
        <n v="1.98" u="1"/>
        <n v="21" u="1"/>
        <n v="2.75" u="1"/>
        <n v="2.85" u="1"/>
        <n v="20.399999999999999" u="1"/>
        <n v="7.5" u="1"/>
        <n v="21.2" u="1"/>
        <n v="3.88" u="1"/>
        <n v="32.200000000000003" u="1"/>
        <n v="21.4" u="1"/>
        <n v="2.8" u="1"/>
        <n v="5.5359999999999996" u="1"/>
        <n v="2.9" u="1"/>
        <n v="10.59" u="1"/>
        <n v="12.32" u="1"/>
        <n v="3" u="1"/>
        <n v="7.8" u="1"/>
        <n v="13.75" u="1"/>
        <n v="22.4" u="1"/>
        <n v="0.48" u="1"/>
        <n v="10.06" u="1"/>
        <n v="24" u="1"/>
        <n v="24.8" u="1"/>
        <n v="0.84" u="1"/>
        <n v="1.42" u="1"/>
        <n v="8.1" u="1"/>
        <n v="14.88" u="1"/>
        <n v="8.5" u="1"/>
        <n v="24.2" u="1"/>
        <n v="7.9" u="1"/>
        <n v="25" u="1"/>
        <n v="35.75" u="1"/>
        <n v="14.75" u="1"/>
        <n v="9" u="1"/>
        <n v="25.2" u="1"/>
        <n v="0.4" u="1"/>
        <n v="8.6999999999999993" u="1"/>
        <n v="18.420000000000002" u="1"/>
        <n v="1.1000000000000001" u="1"/>
        <n v="1.2" u="1"/>
        <n v="3.3" u="1"/>
        <n v="9.9" u="1"/>
        <n v="3.4" u="1"/>
        <n v="8.17" u="1"/>
        <n v="8.8000000000000007" u="1"/>
        <n v="15.35" u="1"/>
        <n v="3.5" u="1"/>
        <n v="9.6" u="1"/>
        <n v="15.75" u="1"/>
        <n v="0.88" u="1"/>
        <n v="2.42" u="1"/>
        <n v="10.4" u="1"/>
        <n v="47" u="1"/>
        <n v="1.52" u="1"/>
        <n v="7.47" u="1"/>
        <n v="9.3000000000000007" u="1"/>
        <n v="10.1" u="1"/>
        <n v="16.5" u="1"/>
        <n v="27.4" u="1"/>
        <n v="0.72" u="1"/>
        <n v="3.85" u="1"/>
        <n v="26.34" u="1"/>
        <n v="28.4" u="1"/>
        <n v="11" u="1"/>
        <n v="19.829999999999998" u="1"/>
        <n v="17.7" u="1"/>
        <n v="1.4" u="1"/>
        <n v="11.1" u="1"/>
        <n v="28.6" u="1"/>
        <n v="0.5" u="1"/>
        <n v="3.7" u="1"/>
        <n v="6.36" u="1"/>
        <n v="6.99" u="1"/>
        <n v="8.74" u="1"/>
        <n v="1.5" u="1"/>
        <n v="22.09" u="1"/>
        <n v="31" u="1"/>
        <n v="4" u="1"/>
        <n v="4.2" u="1"/>
        <n v="12" u="1"/>
        <n v="23.16" u="1"/>
        <n v="0.42" u="1"/>
        <n v="2.23" u="1"/>
        <n v="9.64" u="1"/>
        <n v="17.64" u="1"/>
        <n v="19.7" u="1"/>
        <n v="32" u="1"/>
      </sharedItems>
    </cacheField>
    <cacheField name="MIERCOLES" numFmtId="0">
      <sharedItems containsString="0" containsBlank="1" containsNumber="1" minValue="0.14000000000000001" maxValue="40.5" count="177">
        <m/>
        <n v="16"/>
        <n v="3.5"/>
        <n v="25"/>
        <n v="13"/>
        <n v="1"/>
        <n v="7"/>
        <n v="3.36" u="1"/>
        <n v="4.0999999999999996" u="1"/>
        <n v="19.899999999999999" u="1"/>
        <n v="11.8" u="1"/>
        <n v="18.64" u="1"/>
        <n v="4.5" u="1"/>
        <n v="4.7" u="1"/>
        <n v="12.6" u="1"/>
        <n v="13.4" u="1"/>
        <n v="0.55000000000000004" u="1"/>
        <n v="4.55" u="1"/>
        <n v="8.2799999999999994" u="1"/>
        <n v="12.3" u="1"/>
        <n v="1.6" u="1"/>
        <n v="22.5" u="1"/>
        <n v="23.76" u="1"/>
        <n v="29.21" u="1"/>
        <n v="1.7" u="1"/>
        <n v="4.8" u="1"/>
        <n v="13.2" u="1"/>
        <n v="38" u="1"/>
        <n v="5" u="1"/>
        <n v="21.37" u="1"/>
        <n v="3.42" u="1"/>
        <n v="8.48" u="1"/>
        <n v="14" u="1"/>
        <n v="14.4" u="1"/>
        <n v="5.25" u="1"/>
        <n v="17.649999999999999" u="1"/>
        <n v="1.48" u="1"/>
        <n v="5.0999999999999996" u="1"/>
        <n v="2.5379999999999998" u="1"/>
        <n v="9.15" u="1"/>
        <n v="22.091000000000001" u="1"/>
        <n v="1.58" u="1"/>
        <n v="8.0500000000000007" u="1"/>
        <n v="12.87" u="1"/>
        <n v="26.3" u="1"/>
        <n v="8.85" u="1"/>
        <n v="15" u="1"/>
        <n v="15.4" u="1"/>
        <n v="17.39" u="1"/>
        <n v="19.38" u="1"/>
        <n v="0.7" u="1"/>
        <n v="6.6379999999999999" u="1"/>
        <n v="12.34" u="1"/>
        <n v="5.4" u="1"/>
        <n v="2" u="1"/>
        <n v="2.1" u="1"/>
        <n v="14.8" u="1"/>
        <n v="30.82" u="1"/>
        <n v="5.85" u="1"/>
        <n v="16.8" u="1"/>
        <n v="19.32" u="1"/>
        <n v="0.96" u="1"/>
        <n v="15.3" u="1"/>
        <n v="2.0499999999999998" u="1"/>
        <n v="16.2" u="1"/>
        <n v="17" u="1"/>
        <n v="6.5" u="1"/>
        <n v="27.37" u="1"/>
        <n v="6.35" u="1"/>
        <n v="0.8" u="1"/>
        <n v="16.600000000000001" u="1"/>
        <n v="17.399999999999999" u="1"/>
        <n v="2.2999999999999998" u="1"/>
        <n v="10.5945" u="1"/>
        <n v="0.9" u="1"/>
        <n v="2.4" u="1"/>
        <n v="6.4" u="1"/>
        <n v="6.6" u="1"/>
        <n v="19.8" u="1"/>
        <n v="2.5" u="1"/>
        <n v="2.6" u="1"/>
        <n v="7.98" u="1"/>
        <n v="4.24" u="1"/>
        <n v="7.2" u="1"/>
        <n v="11.05" u="1"/>
        <n v="0.14000000000000001" u="1"/>
        <n v="3.63" u="1"/>
        <n v="20.8" u="1"/>
        <n v="12.88" u="1"/>
        <n v="19.399999999999999" u="1"/>
        <n v="20.73" u="1"/>
        <n v="1.6359999999999999" u="1"/>
        <n v="1.98" u="1"/>
        <n v="21" u="1"/>
        <n v="2.75" u="1"/>
        <n v="2.85" u="1"/>
        <n v="20.399999999999999" u="1"/>
        <n v="1.44" u="1"/>
        <n v="7.5" u="1"/>
        <n v="21.2" u="1"/>
        <n v="35" u="1"/>
        <n v="0.35" u="1"/>
        <n v="7.35" u="1"/>
        <n v="32.200000000000003" u="1"/>
        <n v="2.7" u="1"/>
        <n v="2.8" u="1"/>
        <n v="12.32" u="1"/>
        <n v="16.149999999999999" u="1"/>
        <n v="3" u="1"/>
        <n v="3.1" u="1"/>
        <n v="7.8" u="1"/>
        <n v="8" u="1"/>
        <n v="8.4" u="1"/>
        <n v="0.48" u="1"/>
        <n v="10.06" u="1"/>
        <n v="0.84" u="1"/>
        <n v="1.42" u="1"/>
        <n v="8.1" u="1"/>
        <n v="22.6" u="1"/>
        <n v="8.5" u="1"/>
        <n v="18.75" u="1"/>
        <n v="24.2" u="1"/>
        <n v="7.9" u="1"/>
        <n v="8.1999999999999993" u="1"/>
        <n v="35.75" u="1"/>
        <n v="14.75" u="1"/>
        <n v="9" u="1"/>
        <n v="9.4" u="1"/>
        <n v="25.2" u="1"/>
        <n v="0.4" u="1"/>
        <n v="8.6999999999999993" u="1"/>
        <n v="8.4700000000000006" u="1"/>
        <n v="9.1" u="1"/>
        <n v="1.2" u="1"/>
        <n v="3.2" u="1"/>
        <n v="9.5" u="1"/>
        <n v="9.9" u="1"/>
        <n v="3.4" u="1"/>
        <n v="8.8000000000000007" u="1"/>
        <n v="15.35" u="1"/>
        <n v="27" u="1"/>
        <n v="3.6" u="1"/>
        <n v="9.6" u="1"/>
        <n v="15.75" u="1"/>
        <n v="0.88" u="1"/>
        <n v="10" u="1"/>
        <n v="10.4" u="1"/>
        <n v="1.52" u="1"/>
        <n v="2.52" u="1"/>
        <n v="9.6999999999999993" u="1"/>
        <n v="16.5" u="1"/>
        <n v="18.489999999999998" u="1"/>
        <n v="27.4" u="1"/>
        <n v="36.5" u="1"/>
        <n v="10.5" u="1"/>
        <n v="9.8000000000000007" u="1"/>
        <n v="0.72" u="1"/>
        <n v="3.85" u="1"/>
        <n v="12.96" u="1"/>
        <n v="11" u="1"/>
        <n v="19.829999999999998" u="1"/>
        <n v="17.7" u="1"/>
        <n v="1.4" u="1"/>
        <n v="11.1" u="1"/>
        <n v="40.5" u="1"/>
        <n v="0.5" u="1"/>
        <n v="3.7" u="1"/>
        <n v="6.36" u="1"/>
        <n v="8.74" u="1"/>
        <n v="1.5" u="1"/>
        <n v="4" u="1"/>
        <n v="4.2" u="1"/>
        <n v="20.3" u="1"/>
        <n v="12" u="1"/>
        <n v="0.42" u="1"/>
        <n v="9.64" u="1"/>
        <n v="19.7" u="1"/>
      </sharedItems>
    </cacheField>
    <cacheField name="JUEVES" numFmtId="0">
      <sharedItems containsString="0" containsBlank="1" containsNumber="1" minValue="0.1" maxValue="44.05" count="176">
        <m/>
        <n v="17"/>
        <n v="1.5"/>
        <n v="9"/>
        <n v="8"/>
        <n v="7.5"/>
        <n v="20"/>
        <n v="0.5"/>
        <n v="2.5"/>
        <n v="7"/>
        <n v="3.36" u="1"/>
        <n v="4.0999999999999996" u="1"/>
        <n v="19.899999999999999" u="1"/>
        <n v="18.64" u="1"/>
        <n v="12.6" u="1"/>
        <n v="13" u="1"/>
        <n v="0.6" u="1"/>
        <n v="1.6" u="1"/>
        <n v="1.7" u="1"/>
        <n v="4.4000000000000004" u="1"/>
        <n v="4.5999999999999996" u="1"/>
        <n v="4.8" u="1"/>
        <n v="13.2" u="1"/>
        <n v="22.7" u="1"/>
        <n v="38" u="1"/>
        <n v="5" u="1"/>
        <n v="5.2" u="1"/>
        <n v="3.42" u="1"/>
        <n v="8.48" u="1"/>
        <n v="14" u="1"/>
        <n v="14.4" u="1"/>
        <n v="8.65" u="1"/>
        <n v="13.7" u="1"/>
        <n v="32.159999999999997" u="1"/>
        <n v="44.05" u="1"/>
        <n v="40.4" u="1"/>
        <n v="0.36" u="1"/>
        <n v="9.15" u="1"/>
        <n v="1.58" u="1"/>
        <n v="8.0500000000000007" u="1"/>
        <n v="12.87" u="1"/>
        <n v="8.85" u="1"/>
        <n v="15" u="1"/>
        <n v="17.39" u="1"/>
        <n v="0.7" u="1"/>
        <n v="1.9" u="1"/>
        <n v="4.7699999999999996" u="1"/>
        <n v="6.6379999999999999" u="1"/>
        <n v="12.34" u="1"/>
        <n v="26.5" u="1"/>
        <n v="27.3" u="1"/>
        <n v="5.4" u="1"/>
        <n v="5.6" u="1"/>
        <n v="2" u="1"/>
        <n v="2.1" u="1"/>
        <n v="4.42" u="1"/>
        <n v="5.8" u="1"/>
        <n v="6.63" u="1"/>
        <n v="6" u="1"/>
        <n v="0.21" u="1"/>
        <n v="12.574999999999999" u="1"/>
        <n v="16.8" u="1"/>
        <n v="21.38" u="1"/>
        <n v="37.950000000000003" u="1"/>
        <n v="0.96" u="1"/>
        <n v="15.3" u="1"/>
        <n v="9.5500000000000007" u="1"/>
        <n v="16.2" u="1"/>
        <n v="6.1" u="1"/>
        <n v="17.8" u="1"/>
        <n v="0.1" u="1"/>
        <n v="6.5" u="1"/>
        <n v="0.3" u="1"/>
        <n v="0.8" u="1"/>
        <n v="11.88" u="1"/>
        <n v="17.399999999999999" u="1"/>
        <n v="2.2999999999999998" u="1"/>
        <n v="3.09" u="1"/>
        <n v="0.9" u="1"/>
        <n v="2.4" u="1"/>
        <n v="6.4" u="1"/>
        <n v="6.6" u="1"/>
        <n v="6.8" u="1"/>
        <n v="7.98" u="1"/>
        <n v="25.25" u="1"/>
        <n v="4.24" u="1"/>
        <n v="7.2" u="1"/>
        <n v="11.05" u="1"/>
        <n v="9.09" u="1"/>
        <n v="20.8" u="1"/>
        <n v="19.399999999999999" u="1"/>
        <n v="1.6359999999999999" u="1"/>
        <n v="33" u="1"/>
        <n v="0.27" u="1"/>
        <n v="1.98" u="1"/>
        <n v="7.1" u="1"/>
        <n v="9.36" u="1"/>
        <n v="21" u="1"/>
        <n v="2.75" u="1"/>
        <n v="2.85" u="1"/>
        <n v="20.399999999999999" u="1"/>
        <n v="1.44" u="1"/>
        <n v="21.2" u="1"/>
        <n v="0.35" u="1"/>
        <n v="32.200000000000003" u="1"/>
        <n v="2.7" u="1"/>
        <n v="2.8" u="1"/>
        <n v="1" u="1"/>
        <n v="10.59" u="1"/>
        <n v="12.32" u="1"/>
        <n v="16.149999999999999" u="1"/>
        <n v="3" u="1"/>
        <n v="3.1" u="1"/>
        <n v="20.34" u="1"/>
        <n v="8.4" u="1"/>
        <n v="10.06" u="1"/>
        <n v="0.84" u="1"/>
        <n v="1.42" u="1"/>
        <n v="10.425000000000001" u="1"/>
        <n v="14.88" u="1"/>
        <n v="8.5" u="1"/>
        <n v="7.9" u="1"/>
        <n v="25" u="1"/>
        <n v="35.75" u="1"/>
        <n v="14.75" u="1"/>
        <n v="9.4" u="1"/>
        <n v="14.05" u="1"/>
        <n v="25.2" u="1"/>
        <n v="0.4" u="1"/>
        <n v="8.6999999999999993" u="1"/>
        <n v="1.1000000000000001" u="1"/>
        <n v="8.4700000000000006" u="1"/>
        <n v="9.1" u="1"/>
        <n v="34.1" u="1"/>
        <n v="1.2" u="1"/>
        <n v="3.2" u="1"/>
        <n v="3.3" u="1"/>
        <n v="9.5" u="1"/>
        <n v="9.9" u="1"/>
        <n v="3.4" u="1"/>
        <n v="8.17" u="1"/>
        <n v="8.8000000000000007" u="1"/>
        <n v="9.1999999999999993" u="1"/>
        <n v="15.35" u="1"/>
        <n v="3.5" u="1"/>
        <n v="9.6" u="1"/>
        <n v="15.75" u="1"/>
        <n v="0.88" u="1"/>
        <n v="2.42" u="1"/>
        <n v="10" u="1"/>
        <n v="10.4" u="1"/>
        <n v="2.52" u="1"/>
        <n v="7.47" u="1"/>
        <n v="16.5" u="1"/>
        <n v="27.4" u="1"/>
        <n v="15.72" u="1"/>
        <n v="16.7" u="1"/>
        <n v="0.72" u="1"/>
        <n v="3.85" u="1"/>
        <n v="26.34" u="1"/>
        <n v="2.226" u="1"/>
        <n v="11" u="1"/>
        <n v="19.829999999999998" u="1"/>
        <n v="17.7" u="1"/>
        <n v="1.4" u="1"/>
        <n v="8.0559999999999992" u="1"/>
        <n v="11.1" u="1"/>
        <n v="3.7" u="1"/>
        <n v="6.36" u="1"/>
        <n v="8.74" u="1"/>
        <n v="14.89" u="1"/>
        <n v="22.09" u="1"/>
        <n v="4" u="1"/>
        <n v="4.2" u="1"/>
        <n v="12" u="1"/>
        <n v="9.64" u="1"/>
      </sharedItems>
    </cacheField>
    <cacheField name="VIERNES" numFmtId="0">
      <sharedItems containsString="0" containsBlank="1" containsNumber="1" minValue="0.1" maxValue="40.47" count="180">
        <m/>
        <n v="10"/>
        <n v="13"/>
        <n v="1"/>
        <n v="21"/>
        <n v="1.5"/>
        <n v="4.5"/>
        <n v="5"/>
        <n v="20.5" u="1"/>
        <n v="3.36" u="1"/>
        <n v="19.899999999999999" u="1"/>
        <n v="0.82" u="1"/>
        <n v="12.6" u="1"/>
        <n v="32.799999999999997" u="1"/>
        <n v="0.55000000000000004" u="1"/>
        <n v="4.55" u="1"/>
        <n v="0.6" u="1"/>
        <n v="1.6" u="1"/>
        <n v="9.08" u="1"/>
        <n v="1.7" u="1"/>
        <n v="4.4000000000000004" u="1"/>
        <n v="4.5999999999999996" u="1"/>
        <n v="13.5" u="1"/>
        <n v="4.8" u="1"/>
        <n v="13.2" u="1"/>
        <n v="2.5299999999999998" u="1"/>
        <n v="32.75" u="1"/>
        <n v="3.42" u="1"/>
        <n v="14.4" u="1"/>
        <n v="22.1" u="1"/>
        <n v="9.2799999999999994" u="1"/>
        <n v="9.91" u="1"/>
        <n v="40" u="1"/>
        <n v="5.25" u="1"/>
        <n v="27.36" u="1"/>
        <n v="40.47" u="1"/>
        <n v="8.98" u="1"/>
        <n v="14.5" u="1"/>
        <n v="14.9" u="1"/>
        <n v="9.15" u="1"/>
        <n v="13.8" u="1"/>
        <n v="1.58" u="1"/>
        <n v="12.87" u="1"/>
        <n v="8.85" u="1"/>
        <n v="15" u="1"/>
        <n v="15.4" u="1"/>
        <n v="17.39" u="1"/>
        <n v="19.38" u="1"/>
        <n v="0.7" u="1"/>
        <n v="6.6379999999999999" u="1"/>
        <n v="5.4" u="1"/>
        <n v="2.1" u="1"/>
        <n v="5.8" u="1"/>
        <n v="6" u="1"/>
        <n v="27.376000000000001" u="1"/>
        <n v="0.21" u="1"/>
        <n v="0.33" u="1"/>
        <n v="16.8" u="1"/>
        <n v="37.950000000000003" u="1"/>
        <n v="8.2899999999999991" u="1"/>
        <n v="9.5500000000000007" u="1"/>
        <n v="16.2" u="1"/>
        <n v="6.3" u="1"/>
        <n v="15.8" u="1"/>
        <n v="0.1" u="1"/>
        <n v="6.5" u="1"/>
        <n v="0.3" u="1"/>
        <n v="0.8" u="1"/>
        <n v="2.2999999999999998" u="1"/>
        <n v="3.09" u="1"/>
        <n v="0.9" u="1"/>
        <n v="2.4" u="1"/>
        <n v="6.4" u="1"/>
        <n v="6.6" u="1"/>
        <n v="9.6199999999999992" u="1"/>
        <n v="2.5" u="1"/>
        <n v="2.6" u="1"/>
        <n v="17.600000000000001" u="1"/>
        <n v="18.399999999999999" u="1"/>
        <n v="4.24" u="1"/>
        <n v="7" u="1"/>
        <n v="7.2" u="1"/>
        <n v="10.42" u="1"/>
        <n v="11.05" u="1"/>
        <n v="0.14000000000000001" u="1"/>
        <n v="9.09" u="1"/>
        <n v="20" u="1"/>
        <n v="20.73" u="1"/>
        <n v="34.06" u="1"/>
        <n v="4.375" u="1"/>
        <n v="6.9" u="1"/>
        <n v="9.36" u="1"/>
        <n v="21.8" u="1"/>
        <n v="19.600000000000001" u="1"/>
        <n v="20.399999999999999" u="1"/>
        <n v="1.44" u="1"/>
        <n v="7.5" u="1"/>
        <n v="12.05" u="1"/>
        <n v="21.2" u="1"/>
        <n v="0.35" u="1"/>
        <n v="7.35" u="1"/>
        <n v="32.200000000000003" u="1"/>
        <n v="2.7" u="1"/>
        <n v="2.8" u="1"/>
        <n v="32.81" u="1"/>
        <n v="16.149999999999999" u="1"/>
        <n v="3" u="1"/>
        <n v="3.1" u="1"/>
        <n v="20.34" u="1"/>
        <n v="8" u="1"/>
        <n v="17.75" u="1"/>
        <n v="0.48" u="1"/>
        <n v="24" u="1"/>
        <n v="0.84" u="1"/>
        <n v="1.42" u="1"/>
        <n v="3.125" u="1"/>
        <n v="10.425000000000001" u="1"/>
        <n v="7.9" u="1"/>
        <n v="25" u="1"/>
        <n v="35.75" u="1"/>
        <n v="1.64" u="1"/>
        <n v="8.6" u="1"/>
        <n v="14.75" u="1"/>
        <n v="9" u="1"/>
        <n v="9.4" u="1"/>
        <n v="14.05" u="1"/>
        <n v="25.2" u="1"/>
        <n v="0.4" u="1"/>
        <n v="1.1000000000000001" u="1"/>
        <n v="1.1499999999999999" u="1"/>
        <n v="8.4700000000000006" u="1"/>
        <n v="9.1" u="1"/>
        <n v="19.88" u="1"/>
        <n v="34.1" u="1"/>
        <n v="1.2" u="1"/>
        <n v="3.2" u="1"/>
        <n v="9.9" u="1"/>
        <n v="17.29" u="1"/>
        <n v="3.4" u="1"/>
        <n v="8.17" u="1"/>
        <n v="8.8000000000000007" u="1"/>
        <n v="27" u="1"/>
        <n v="27.8" u="1"/>
        <n v="3.5" u="1"/>
        <n v="3.6" u="1"/>
        <n v="9.6" u="1"/>
        <n v="15.75" u="1"/>
        <n v="0.88" u="1"/>
        <n v="2.42" u="1"/>
        <n v="10.4" u="1"/>
        <n v="1.52" u="1"/>
        <n v="2.52" u="1"/>
        <n v="7.47" u="1"/>
        <n v="28" u="1"/>
        <n v="16.5" u="1"/>
        <n v="27.4" u="1"/>
        <n v="10.5" u="1"/>
        <n v="28.2" u="1"/>
        <n v="9.8000000000000007" u="1"/>
        <n v="16.7" u="1"/>
        <n v="0.72" u="1"/>
        <n v="10.6" u="1"/>
        <n v="12.96" u="1"/>
        <n v="26.34" u="1"/>
        <n v="19.829999999999998" u="1"/>
        <n v="17.7" u="1"/>
        <n v="1.4" u="1"/>
        <n v="8.0559999999999992" u="1"/>
        <n v="11.1" u="1"/>
        <n v="0.5" u="1"/>
        <n v="3.7" u="1"/>
        <n v="6.36" u="1"/>
        <n v="8.74" u="1"/>
        <n v="37.700000000000003" u="1"/>
        <n v="3.9" u="1"/>
        <n v="4" u="1"/>
        <n v="4.2" u="1"/>
        <n v="19.5" u="1"/>
        <n v="12" u="1"/>
        <n v="9.64" u="1"/>
      </sharedItems>
    </cacheField>
    <cacheField name="SABADO" numFmtId="0">
      <sharedItems containsString="0" containsBlank="1" containsNumber="1" minValue="0.1" maxValue="40.47" count="186">
        <m/>
        <n v="17"/>
        <n v="22"/>
        <n v="11"/>
        <n v="6"/>
        <n v="1"/>
        <n v="21"/>
        <n v="2"/>
        <n v="2.5"/>
        <n v="3.36" u="1"/>
        <n v="12.5" u="1"/>
        <n v="19.899999999999999" u="1"/>
        <n v="0.82" u="1"/>
        <n v="4.5" u="1"/>
        <n v="12.6" u="1"/>
        <n v="4.1500000000000004" u="1"/>
        <n v="13" u="1"/>
        <n v="13.4" u="1"/>
        <n v="4.55" u="1"/>
        <n v="12.3" u="1"/>
        <n v="0.6" u="1"/>
        <n v="1.6" u="1"/>
        <n v="1.7" u="1"/>
        <n v="4.4000000000000004" u="1"/>
        <n v="4.5999999999999996" u="1"/>
        <n v="17.78" u="1"/>
        <n v="1.8" u="1"/>
        <n v="4.8" u="1"/>
        <n v="12.8" u="1"/>
        <n v="13.2" u="1"/>
        <n v="2.5299999999999998" u="1"/>
        <n v="3.12" u="1"/>
        <n v="5" u="1"/>
        <n v="12.57" u="1"/>
        <n v="3.42" u="1"/>
        <n v="8.48" u="1"/>
        <n v="14" u="1"/>
        <n v="14.4" u="1"/>
        <n v="22.1" u="1"/>
        <n v="8.65" u="1"/>
        <n v="32.159999999999997" u="1"/>
        <n v="5.25" u="1"/>
        <n v="27.36" u="1"/>
        <n v="40.47" u="1"/>
        <n v="6.28" u="1"/>
        <n v="14.9" u="1"/>
        <n v="40.4" u="1"/>
        <n v="5.3" u="1"/>
        <n v="9.15" u="1"/>
        <n v="13.8" u="1"/>
        <n v="1.58" u="1"/>
        <n v="12.87" u="1"/>
        <n v="8.85" u="1"/>
        <n v="15" u="1"/>
        <n v="15.4" u="1"/>
        <n v="17.39" u="1"/>
        <n v="19.38" u="1"/>
        <n v="0.7" u="1"/>
        <n v="4.7699999999999996" u="1"/>
        <n v="17.59" u="1"/>
        <n v="5.4" u="1"/>
        <n v="2.1" u="1"/>
        <n v="5.8" u="1"/>
        <n v="0.21" u="1"/>
        <n v="16" u="1"/>
        <n v="16.8" u="1"/>
        <n v="37.950000000000003" u="1"/>
        <n v="0.96" u="1"/>
        <n v="15.3" u="1"/>
        <n v="15.7" u="1"/>
        <n v="1.68" u="1"/>
        <n v="9.5500000000000007" u="1"/>
        <n v="15.8" u="1"/>
        <n v="0.1" u="1"/>
        <n v="16.704999999999998" u="1"/>
        <n v="18" u="1"/>
        <n v="0.8" u="1"/>
        <n v="3.09" u="1"/>
        <n v="0.9" u="1"/>
        <n v="2.4" u="1"/>
        <n v="6.4" u="1"/>
        <n v="6.6" u="1"/>
        <n v="18.416" u="1"/>
        <n v="19" u="1"/>
        <n v="17.600000000000001" u="1"/>
        <n v="4.24" u="1"/>
        <n v="7" u="1"/>
        <n v="7.2" u="1"/>
        <n v="11.05" u="1"/>
        <n v="0.14000000000000001" u="1"/>
        <n v="6.85" u="1"/>
        <n v="9.09" u="1"/>
        <n v="20.73" u="1"/>
        <n v="33" u="1"/>
        <n v="0.27" u="1"/>
        <n v="1.98" u="1"/>
        <n v="6.9" u="1"/>
        <n v="9.36" u="1"/>
        <n v="2.75" u="1"/>
        <n v="20.399999999999999" u="1"/>
        <n v="1.44" u="1"/>
        <n v="7.5" u="1"/>
        <n v="12.05" u="1"/>
        <n v="21.2" u="1"/>
        <n v="27.98" u="1"/>
        <n v="0.35" u="1"/>
        <n v="7.35" u="1"/>
        <n v="32.200000000000003" u="1"/>
        <n v="15.94" u="1"/>
        <n v="21.4" u="1"/>
        <n v="2.8" u="1"/>
        <n v="32.81" u="1"/>
        <n v="7.6" u="1"/>
        <n v="10.59" u="1"/>
        <n v="16.149999999999999" u="1"/>
        <n v="23" u="1"/>
        <n v="3" u="1"/>
        <n v="3.1" u="1"/>
        <n v="7.8" u="1"/>
        <n v="13.75" u="1"/>
        <n v="20.34" u="1"/>
        <n v="21.6" u="1"/>
        <n v="8" u="1"/>
        <n v="8.4" u="1"/>
        <n v="0.84" u="1"/>
        <n v="1.42" u="1"/>
        <n v="8.1" u="1"/>
        <n v="10.425000000000001" u="1"/>
        <n v="14.88" u="1"/>
        <n v="8.5" u="1"/>
        <n v="8.9" u="1"/>
        <n v="7.9" u="1"/>
        <n v="1.64" u="1"/>
        <n v="9" u="1"/>
        <n v="14.05" u="1"/>
        <n v="25.2" u="1"/>
        <n v="0.15" u="1"/>
        <n v="0.4" u="1"/>
        <n v="8.6999999999999993" u="1"/>
        <n v="1.1000000000000001" u="1"/>
        <n v="8.4700000000000006" u="1"/>
        <n v="9.73" u="1"/>
        <n v="34.1" u="1"/>
        <n v="1.2" u="1"/>
        <n v="9.5" u="1"/>
        <n v="9.9" u="1"/>
        <n v="8.17" u="1"/>
        <n v="8.8000000000000007" u="1"/>
        <n v="32.9" u="1"/>
        <n v="9.6" u="1"/>
        <n v="20.88" u="1"/>
        <n v="0.88" u="1"/>
        <n v="2.2200000000000002" u="1"/>
        <n v="10" u="1"/>
        <n v="10.4" u="1"/>
        <n v="2.52" u="1"/>
        <n v="6.64" u="1"/>
        <n v="7.47" u="1"/>
        <n v="10.1" u="1"/>
        <n v="16.5" u="1"/>
        <n v="27.4" u="1"/>
        <n v="28.2" u="1"/>
        <n v="0.72" u="1"/>
        <n v="3.85" u="1"/>
        <n v="10.6" u="1"/>
        <n v="12.96" u="1"/>
        <n v="26.34" u="1"/>
        <n v="17.7" u="1"/>
        <n v="1.4" u="1"/>
        <n v="11.1" u="1"/>
        <n v="0.5" u="1"/>
        <n v="3.7" u="1"/>
        <n v="6.99" u="1"/>
        <n v="8.74" u="1"/>
        <n v="1.5" u="1"/>
        <n v="3.9" u="1"/>
        <n v="9.14" u="1"/>
        <n v="22.09" u="1"/>
        <n v="4" u="1"/>
        <n v="4.2" u="1"/>
        <n v="12" u="1"/>
        <n v="12.4" u="1"/>
        <n v="7.44" u="1"/>
        <n v="9.64" u="1"/>
        <n v="19.7" u="1"/>
        <n v="32" u="1"/>
      </sharedItems>
    </cacheField>
    <cacheField name="DOMINGO" numFmtId="0">
      <sharedItems containsString="0" containsBlank="1" containsNumber="1" minValue="0" maxValue="40.47" count="177">
        <m/>
        <n v="33"/>
        <n v="2.5"/>
        <n v="13"/>
        <n v="7"/>
        <n v="1"/>
        <n v="11"/>
        <n v="5"/>
        <n v="0" u="1"/>
        <n v="21.3" u="1"/>
        <n v="3.36" u="1"/>
        <n v="12.5" u="1"/>
        <n v="19.899999999999999" u="1"/>
        <n v="0.82" u="1"/>
        <n v="4.5" u="1"/>
        <n v="4.7" u="1"/>
        <n v="12.6" u="1"/>
        <n v="4.1500000000000004" u="1"/>
        <n v="4.3499999999999996" u="1"/>
        <n v="7.74" u="1"/>
        <n v="0.55000000000000004" u="1"/>
        <n v="4.55" u="1"/>
        <n v="12.3" u="1"/>
        <n v="0.6" u="1"/>
        <n v="1.6" u="1"/>
        <n v="1.7" u="1"/>
        <n v="4.5999999999999996" u="1"/>
        <n v="4.8" u="1"/>
        <n v="12.8" u="1"/>
        <n v="13.2" u="1"/>
        <n v="12.57" u="1"/>
        <n v="3.42" u="1"/>
        <n v="14" u="1"/>
        <n v="14.4" u="1"/>
        <n v="22.1" u="1"/>
        <n v="8.65" u="1"/>
        <n v="13.7" u="1"/>
        <n v="32.159999999999997" u="1"/>
        <n v="5.25" u="1"/>
        <n v="17.649999999999999" u="1"/>
        <n v="27.36" u="1"/>
        <n v="40.47" u="1"/>
        <n v="17.190000000000001" u="1"/>
        <n v="2.5379999999999998" u="1"/>
        <n v="13.8" u="1"/>
        <n v="1.58" u="1"/>
        <n v="5.5" u="1"/>
        <n v="12.87" u="1"/>
        <n v="15" u="1"/>
        <n v="15.4" u="1"/>
        <n v="19.38" u="1"/>
        <n v="0.7" u="1"/>
        <n v="14.7" u="1"/>
        <n v="4.37" u="1"/>
        <n v="4.7699999999999996" u="1"/>
        <n v="5.4" u="1"/>
        <n v="9.35" u="1"/>
        <n v="2" u="1"/>
        <n v="2.1" u="1"/>
        <n v="5.8" u="1"/>
        <n v="6" u="1"/>
        <n v="15.6" u="1"/>
        <n v="16" u="1"/>
        <n v="16.8" u="1"/>
        <n v="37.950000000000003" u="1"/>
        <n v="0.96" u="1"/>
        <n v="15.3" u="1"/>
        <n v="9.5500000000000007" u="1"/>
        <n v="15.8" u="1"/>
        <n v="18" u="1"/>
        <n v="0.8" u="1"/>
        <n v="17.399999999999999" u="1"/>
        <n v="2.2000000000000002" u="1"/>
        <n v="3.09" u="1"/>
        <n v="6.75" u="1"/>
        <n v="0.9" u="1"/>
        <n v="2.4" u="1"/>
        <n v="6.4" u="1"/>
        <n v="6.6" u="1"/>
        <n v="19.8" u="1"/>
        <n v="24.45" u="1"/>
        <n v="2.6" u="1"/>
        <n v="17.600000000000001" u="1"/>
        <n v="7.2" u="1"/>
        <n v="10.42" u="1"/>
        <n v="19.2" u="1"/>
        <n v="0.14000000000000001" u="1"/>
        <n v="8.06" u="1"/>
        <n v="9.09" u="1"/>
        <n v="20.73" u="1"/>
        <n v="34.06" u="1"/>
        <n v="0.27" u="1"/>
        <n v="6.9" u="1"/>
        <n v="9.36" u="1"/>
        <n v="18.41" u="1"/>
        <n v="21" u="1"/>
        <n v="2.75" u="1"/>
        <n v="20.399999999999999" u="1"/>
        <n v="1.44" u="1"/>
        <n v="7.5" u="1"/>
        <n v="12.05" u="1"/>
        <n v="21.2" u="1"/>
        <n v="36.6" u="1"/>
        <n v="32.200000000000003" u="1"/>
        <n v="2.7" u="1"/>
        <n v="2.8" u="1"/>
        <n v="32.81" u="1"/>
        <n v="7.6" u="1"/>
        <n v="10.59" u="1"/>
        <n v="12.32" u="1"/>
        <n v="16.149999999999999" u="1"/>
        <n v="3" u="1"/>
        <n v="7.8" u="1"/>
        <n v="13.75" u="1"/>
        <n v="20.34" u="1"/>
        <n v="8" u="1"/>
        <n v="8.4" u="1"/>
        <n v="8.6300000000000008" u="1"/>
        <n v="0.48" u="1"/>
        <n v="24" u="1"/>
        <n v="0.84" u="1"/>
        <n v="1.42" u="1"/>
        <n v="3.125" u="1"/>
        <n v="8.1" u="1"/>
        <n v="14.88" u="1"/>
        <n v="24.2" u="1"/>
        <n v="7.9" u="1"/>
        <n v="8.1999999999999993" u="1"/>
        <n v="31.25" u="1"/>
        <n v="9" u="1"/>
        <n v="14.05" u="1"/>
        <n v="0.15" u="1"/>
        <n v="0.4" u="1"/>
        <n v="8.6999999999999993" u="1"/>
        <n v="11.06" u="1"/>
        <n v="1.1000000000000001" u="1"/>
        <n v="8.4700000000000006" u="1"/>
        <n v="1.2" u="1"/>
        <n v="3.2" u="1"/>
        <n v="9.9" u="1"/>
        <n v="8.17" u="1"/>
        <n v="8.8000000000000007" u="1"/>
        <n v="3.5" u="1"/>
        <n v="9.6" u="1"/>
        <n v="15.75" u="1"/>
        <n v="0.88" u="1"/>
        <n v="2.42" u="1"/>
        <n v="10" u="1"/>
        <n v="1.52" u="1"/>
        <n v="2.52" u="1"/>
        <n v="6.64" u="1"/>
        <n v="7.47" u="1"/>
        <n v="10.1" u="1"/>
        <n v="16.5" u="1"/>
        <n v="27.4" u="1"/>
        <n v="10.5" u="1"/>
        <n v="0.72" u="1"/>
        <n v="10.6" u="1"/>
        <n v="12.96" u="1"/>
        <n v="26.34" u="1"/>
        <n v="16.100000000000001" u="1"/>
        <n v="17.7" u="1"/>
        <n v="1.4" u="1"/>
        <n v="11.1" u="1"/>
        <n v="0.5" u="1"/>
        <n v="6.99" u="1"/>
        <n v="1.5" u="1"/>
        <n v="3.9" u="1"/>
        <n v="7.39" u="1"/>
        <n v="10.8" u="1"/>
        <n v="22.09" u="1"/>
        <n v="4" u="1"/>
        <n v="4.2" u="1"/>
        <n v="12" u="1"/>
        <n v="18.899999999999999" u="1"/>
        <n v="0.42" u="1"/>
        <n v="2.23" u="1"/>
      </sharedItems>
    </cacheField>
    <cacheField name="LUNES" numFmtId="0">
      <sharedItems containsString="0" containsBlank="1" containsNumber="1" minValue="0.14000000000000001" maxValue="62.9" count="179">
        <m/>
        <n v="17"/>
        <n v="28"/>
        <n v="10"/>
        <n v="4"/>
        <n v="9"/>
        <n v="3.36" u="1"/>
        <n v="12.5" u="1"/>
        <n v="0.82" u="1"/>
        <n v="11.8" u="1"/>
        <n v="4.5" u="1"/>
        <n v="4.7" u="1"/>
        <n v="12.6" u="1"/>
        <n v="21.376000000000001" u="1"/>
        <n v="4.1500000000000004" u="1"/>
        <n v="13" u="1"/>
        <n v="0.55000000000000004" u="1"/>
        <n v="4.55" u="1"/>
        <n v="12.3" u="1"/>
        <n v="1.6" u="1"/>
        <n v="1.7" u="1"/>
        <n v="4.8" u="1"/>
        <n v="13.2" u="1"/>
        <n v="3.12" u="1"/>
        <n v="5" u="1"/>
        <n v="8.48" u="1"/>
        <n v="14.4" u="1"/>
        <n v="8.65" u="1"/>
        <n v="23.7" u="1"/>
        <n v="32.159999999999997" u="1"/>
        <n v="17.649999999999999" u="1"/>
        <n v="27.36" u="1"/>
        <n v="40.47" u="1"/>
        <n v="5.3" u="1"/>
        <n v="9.15" u="1"/>
        <n v="1.58" u="1"/>
        <n v="5.5" u="1"/>
        <n v="26.3" u="1"/>
        <n v="7.56" u="1"/>
        <n v="15" u="1"/>
        <n v="15.4" u="1"/>
        <n v="0.7" u="1"/>
        <n v="4.7699999999999996" u="1"/>
        <n v="12.34" u="1"/>
        <n v="17.59" u="1"/>
        <n v="5.4" u="1"/>
        <n v="2" u="1"/>
        <n v="2.1" u="1"/>
        <n v="14.8" u="1"/>
        <n v="16.8" u="1"/>
        <n v="0.96" u="1"/>
        <n v="8.52" u="1"/>
        <n v="15.3" u="1"/>
        <n v="1.68" u="1"/>
        <n v="6.25" u="1"/>
        <n v="16.2" u="1"/>
        <n v="20.85" u="1"/>
        <n v="6.1" u="1"/>
        <n v="15.8" u="1"/>
        <n v="12.58" u="1"/>
        <n v="27.37" u="1"/>
        <n v="11.48" u="1"/>
        <n v="18" u="1"/>
        <n v="0.3" u="1"/>
        <n v="0.8" u="1"/>
        <n v="16.600000000000001" u="1"/>
        <n v="17.399999999999999" u="1"/>
        <n v="62.9" u="1"/>
        <n v="2.2000000000000002" u="1"/>
        <n v="0.9" u="1"/>
        <n v="2.4" u="1"/>
        <n v="6.4" u="1"/>
        <n v="6.6" u="1"/>
        <n v="18.416" u="1"/>
        <n v="19.8" u="1"/>
        <n v="2.5" u="1"/>
        <n v="17.600000000000001" u="1"/>
        <n v="4.24" u="1"/>
        <n v="7" u="1"/>
        <n v="7.2" u="1"/>
        <n v="0.14000000000000001" u="1"/>
        <n v="4.4400000000000004" u="1"/>
        <n v="6.85" u="1"/>
        <n v="20.8" u="1"/>
        <n v="18.600000000000001" u="1"/>
        <n v="34.06" u="1"/>
        <n v="6.27" u="1"/>
        <n v="0.27" u="1"/>
        <n v="1.98" u="1"/>
        <n v="4.375" u="1"/>
        <n v="7.1" u="1"/>
        <n v="9.36" u="1"/>
        <n v="21" u="1"/>
        <n v="2.75" u="1"/>
        <n v="2.85" u="1"/>
        <n v="20.399999999999999" u="1"/>
        <n v="1.44" u="1"/>
        <n v="12.05" u="1"/>
        <n v="21.2" u="1"/>
        <n v="36.6" u="1"/>
        <n v="5.14" u="1"/>
        <n v="18.54" u="1"/>
        <n v="22" u="1"/>
        <n v="32.200000000000003" u="1"/>
        <n v="21.4" u="1"/>
        <n v="2.7" u="1"/>
        <n v="32.81" u="1"/>
        <n v="1" u="1"/>
        <n v="10.59" u="1"/>
        <n v="12.32" u="1"/>
        <n v="35.799999999999997" u="1"/>
        <n v="3" u="1"/>
        <n v="13.75" u="1"/>
        <n v="8" u="1"/>
        <n v="23.2" u="1"/>
        <n v="0.48" u="1"/>
        <n v="37.799999999999997" u="1"/>
        <n v="0.84" u="1"/>
        <n v="1.42" u="1"/>
        <n v="8.1" u="1"/>
        <n v="14.88" u="1"/>
        <n v="8.5" u="1"/>
        <n v="24.2" u="1"/>
        <n v="7.9" u="1"/>
        <n v="25" u="1"/>
        <n v="35.75" u="1"/>
        <n v="14.05" u="1"/>
        <n v="25.2" u="1"/>
        <n v="0.4" u="1"/>
        <n v="6.97" u="1"/>
        <n v="8.6999999999999993" u="1"/>
        <n v="11.06" u="1"/>
        <n v="1.1000000000000001" u="1"/>
        <n v="1.2" u="1"/>
        <n v="3.2" u="1"/>
        <n v="9.9" u="1"/>
        <n v="3.4" u="1"/>
        <n v="8.8000000000000007" u="1"/>
        <n v="9.1999999999999993" u="1"/>
        <n v="15.35" u="1"/>
        <n v="3.5" u="1"/>
        <n v="3.6" u="1"/>
        <n v="9.6" u="1"/>
        <n v="15.75" u="1"/>
        <n v="0.88" u="1"/>
        <n v="2.42" u="1"/>
        <n v="10.4" u="1"/>
        <n v="1.52" u="1"/>
        <n v="2.52" u="1"/>
        <n v="10.1" u="1"/>
        <n v="16.5" u="1"/>
        <n v="17.3" u="1"/>
        <n v="27.4" u="1"/>
        <n v="0.72" u="1"/>
        <n v="3.85" u="1"/>
        <n v="10.6" u="1"/>
        <n v="12.96" u="1"/>
        <n v="17.5" u="1"/>
        <n v="11.4" u="1"/>
        <n v="16.100000000000001" u="1"/>
        <n v="17.7" u="1"/>
        <n v="30" u="1"/>
        <n v="1.4" u="1"/>
        <n v="11.1" u="1"/>
        <n v="0.5" u="1"/>
        <n v="3.7" u="1"/>
        <n v="6.16" u="1"/>
        <n v="6.99" u="1"/>
        <n v="8.74" u="1"/>
        <n v="1.5" u="1"/>
        <n v="3.21" u="1"/>
        <n v="10.8" u="1"/>
        <n v="22.09" u="1"/>
        <n v="4.2" u="1"/>
        <n v="12" u="1"/>
        <n v="0.42" u="1"/>
        <n v="2.23" u="1"/>
        <n v="9.64" u="1"/>
        <n v="19.7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m" refreshedDate="44576.395659027781" createdVersion="6" refreshedVersion="7" minRefreshableVersion="3" recordCount="24" xr:uid="{00000000-000A-0000-FFFF-FFFF26000000}">
  <cacheSource type="worksheet">
    <worksheetSource ref="B30:J54" sheet="ORDENES "/>
  </cacheSource>
  <cacheFields count="9">
    <cacheField name="No.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PRODUCTO" numFmtId="0">
      <sharedItems count="27">
        <s v="CHULETA DE CERDO"/>
        <s v="LOMO DE CERDO"/>
        <s v="PIERNA DE CERDO EN TROZO"/>
        <s v="PIERNA DE CERDO MOLIDA"/>
        <s v="MERO EN FILETE CONGELADO"/>
        <s v="PECHUGA DE POLLO "/>
        <s v="PECHUGA DE POLLO DESHUESADA"/>
        <s v="PECHUGA  DESHUESADA EN BISTEC"/>
        <s v="PECHUGA DE POLLO  MÓLIDA"/>
        <s v="PIERNA Y MUSLO DE POLLO SIN PIEL EN FORMA DE PISTOLA"/>
        <s v="POLLO ENTERO"/>
        <s v="BISTEC DE PIERNA DE RES"/>
        <s v="CHAMBARETE DE RES"/>
        <s v="CUETE DE PIERNA DE RES"/>
        <s v="FALDA DE RES"/>
        <s v="PULPA DE RES EN TROZO"/>
        <s v="PULPA DE RES MOLIDA"/>
        <s v="HUEVO ENTERO"/>
        <s v="JAMÓN DE CERDO FINO CON 16% DE PROTEÍNA"/>
        <s v="JAMÓN DE PAVO"/>
        <s v="JAMÓN DE PECHUGA DE PAVO"/>
        <s v="MORTADELA"/>
        <s v="SALCHICHA DE CERDO VIENA"/>
        <s v="SALCHICHA DE PAVO VIENA"/>
        <s v="MERO" u="1"/>
        <s v="TOCINO" u="1"/>
        <s v="PIERNA Y MUSLO DE POLLO" u="1"/>
      </sharedItems>
    </cacheField>
    <cacheField name="MARTES" numFmtId="0">
      <sharedItems containsString="0" containsBlank="1" containsNumber="1" minValue="0.3" maxValue="43.4" count="168">
        <m/>
        <n v="8.15"/>
        <n v="1.35"/>
        <n v="12.45"/>
        <n v="9"/>
        <n v="5.85"/>
        <n v="14"/>
        <n v="3.6"/>
        <n v="0.9"/>
        <n v="12.5" u="1"/>
        <n v="4.3" u="1"/>
        <n v="4.5" u="1"/>
        <n v="4.7" u="1"/>
        <n v="12.6" u="1"/>
        <n v="22.3" u="1"/>
        <n v="13" u="1"/>
        <n v="20.100000000000001" u="1"/>
        <n v="36" u="1"/>
        <n v="0.6" u="1"/>
        <n v="1.6" u="1"/>
        <n v="1.7" u="1"/>
        <n v="4.5999999999999996" u="1"/>
        <n v="13.5" u="1"/>
        <n v="13.9" u="1"/>
        <n v="1.8" u="1"/>
        <n v="13.2" u="1"/>
        <n v="5" u="1"/>
        <n v="14.4" u="1"/>
        <n v="13.7" u="1"/>
        <n v="14.1" u="1"/>
        <n v="4.9000000000000004" u="1"/>
        <n v="23.1" u="1"/>
        <n v="5.3" u="1"/>
        <n v="5.5" u="1"/>
        <n v="5.7" u="1"/>
        <n v="26.3" u="1"/>
        <n v="15" u="1"/>
        <n v="0.7" u="1"/>
        <n v="14.3" u="1"/>
        <n v="5.4" u="1"/>
        <n v="5.6" u="1"/>
        <n v="15.5" u="1"/>
        <n v="15.9" u="1"/>
        <n v="25.1" u="1"/>
        <n v="35.1" u="1"/>
        <n v="2" u="1"/>
        <n v="2.1" u="1"/>
        <n v="14.8" u="1"/>
        <n v="15.2" u="1"/>
        <n v="6" u="1"/>
        <n v="6.2" u="1"/>
        <n v="15.6" u="1"/>
        <n v="16.8" u="1"/>
        <n v="15.3" u="1"/>
        <n v="16.2" u="1"/>
        <n v="5.9" u="1"/>
        <n v="6.1" u="1"/>
        <n v="17" u="1"/>
        <n v="37.5" u="1"/>
        <n v="15.8" u="1"/>
        <n v="16.399999999999999" u="1"/>
        <n v="6.5" u="1"/>
        <n v="37.9" u="1"/>
        <n v="18" u="1"/>
        <n v="18.8" u="1"/>
        <n v="0.3" u="1"/>
        <n v="0.8" u="1"/>
        <n v="38.299999999999997" u="1"/>
        <n v="2.2000000000000002" u="1"/>
        <n v="2.4" u="1"/>
        <n v="6.4" u="1"/>
        <n v="6.6" u="1"/>
        <n v="19" u="1"/>
        <n v="19.8" u="1"/>
        <n v="2.5" u="1"/>
        <n v="2.6" u="1"/>
        <n v="6.8" u="1"/>
        <n v="18.399999999999999" u="1"/>
        <n v="7" u="1"/>
        <n v="7.2" u="1"/>
        <n v="19.2" u="1"/>
        <n v="20" u="1"/>
        <n v="18.600000000000001" u="1"/>
        <n v="20.2" u="1"/>
        <n v="33" u="1"/>
        <n v="21" u="1"/>
        <n v="7.3" u="1"/>
        <n v="20.399999999999999" u="1"/>
        <n v="7.5" u="1"/>
        <n v="7.7" u="1"/>
        <n v="22" u="1"/>
        <n v="22.8" u="1"/>
        <n v="20.6" u="1"/>
        <n v="2.8" u="1"/>
        <n v="1" u="1"/>
        <n v="2.9" u="1"/>
        <n v="7.6" u="1"/>
        <n v="23.8" u="1"/>
        <n v="3" u="1"/>
        <n v="7.8" u="1"/>
        <n v="21.6" u="1"/>
        <n v="37.4" u="1"/>
        <n v="8" u="1"/>
        <n v="8.4" u="1"/>
        <n v="24" u="1"/>
        <n v="0.84" u="1"/>
        <n v="8.1" u="1"/>
        <n v="22.6" u="1"/>
        <n v="8.5" u="1"/>
        <n v="8.9" u="1"/>
        <n v="24.2" u="1"/>
        <n v="7.9" u="1"/>
        <n v="8.6" u="1"/>
        <n v="9.4" u="1"/>
        <n v="0.4" u="1"/>
        <n v="8.3000000000000007" u="1"/>
        <n v="26" u="1"/>
        <n v="1.1000000000000001" u="1"/>
        <n v="9.1" u="1"/>
        <n v="43.4" u="1"/>
        <n v="1.2" u="1"/>
        <n v="3.2" u="1"/>
        <n v="9.5" u="1"/>
        <n v="9.9" u="1"/>
        <n v="1.3" u="1"/>
        <n v="3.4" u="1"/>
        <n v="27" u="1"/>
        <n v="3.5" u="1"/>
        <n v="9.6" u="1"/>
        <n v="10" u="1"/>
        <n v="10.4" u="1"/>
        <n v="9.3000000000000007" u="1"/>
        <n v="9.6999999999999993" u="1"/>
        <n v="16.5" u="1"/>
        <n v="17.3" u="1"/>
        <n v="38.1" u="1"/>
        <n v="9.8000000000000007" u="1"/>
        <n v="10.199999999999999" u="1"/>
        <n v="10.6" u="1"/>
        <n v="40.1" u="1"/>
        <n v="11" u="1"/>
        <n v="16.100000000000001" u="1"/>
        <n v="16.899999999999999" u="1"/>
        <n v="10.3" u="1"/>
        <n v="10.7" u="1"/>
        <n v="30" u="1"/>
        <n v="1.4" u="1"/>
        <n v="0.5" u="1"/>
        <n v="3.8" u="1"/>
        <n v="11.5" u="1"/>
        <n v="17.100000000000001" u="1"/>
        <n v="1.5" u="1"/>
        <n v="3.9" u="1"/>
        <n v="10.8" u="1"/>
        <n v="18.7" u="1"/>
        <n v="31" u="1"/>
        <n v="4" u="1"/>
        <n v="4.2" u="1"/>
        <n v="11.6" u="1"/>
        <n v="19.5" u="1"/>
        <n v="29.6" u="1"/>
        <n v="12" u="1"/>
        <n v="12.4" u="1"/>
        <n v="18.899999999999999" u="1"/>
        <n v="11.3" u="1"/>
        <n v="11.7" u="1"/>
        <n v="19.7" u="1"/>
        <n v="33.6" u="1"/>
      </sharedItems>
    </cacheField>
    <cacheField name="MIERCOLES" numFmtId="0">
      <sharedItems containsString="0" containsBlank="1" containsNumber="1" minValue="0.4" maxValue="47.6" count="166">
        <m/>
        <n v="17.5"/>
        <n v="2.7"/>
        <n v="15.75"/>
        <n v="9.6"/>
        <n v="0.97"/>
        <n v="1"/>
        <n v="3.9"/>
        <n v="12.5" u="1"/>
        <n v="12.9" u="1"/>
        <n v="19.100000000000001" u="1"/>
        <n v="19.899999999999999" u="1"/>
        <n v="43.3" u="1"/>
        <n v="4.3" u="1"/>
        <n v="11.8" u="1"/>
        <n v="4.5" u="1"/>
        <n v="4.7" u="1"/>
        <n v="22.3" u="1"/>
        <n v="13" u="1"/>
        <n v="20.100000000000001" u="1"/>
        <n v="12.7" u="1"/>
        <n v="36" u="1"/>
        <n v="0.6" u="1"/>
        <n v="1.6" u="1"/>
        <n v="13.1" u="1"/>
        <n v="23.3" u="1"/>
        <n v="1.7" u="1"/>
        <n v="4.4000000000000004" u="1"/>
        <n v="4.5999999999999996" u="1"/>
        <n v="13.5" u="1"/>
        <n v="1.8" u="1"/>
        <n v="13.2" u="1"/>
        <n v="22.7" u="1"/>
        <n v="5" u="1"/>
        <n v="35.200000000000003" u="1"/>
        <n v="14" u="1"/>
        <n v="14.4" u="1"/>
        <n v="22.1" u="1"/>
        <n v="13.3" u="1"/>
        <n v="13.7" u="1"/>
        <n v="5.3" u="1"/>
        <n v="5.5" u="1"/>
        <n v="5.7" u="1"/>
        <n v="26.3" u="1"/>
        <n v="15" u="1"/>
        <n v="15.4" u="1"/>
        <n v="0.7" u="1"/>
        <n v="5.4" u="1"/>
        <n v="5.6" u="1"/>
        <n v="15.5" u="1"/>
        <n v="2" u="1"/>
        <n v="2.1" u="1"/>
        <n v="5.8" u="1"/>
        <n v="15.2" u="1"/>
        <n v="47.6" u="1"/>
        <n v="6" u="1"/>
        <n v="6.2" u="1"/>
        <n v="15.6" u="1"/>
        <n v="16" u="1"/>
        <n v="16.8" u="1"/>
        <n v="16.2" u="1"/>
        <n v="28.5" u="1"/>
        <n v="5.9" u="1"/>
        <n v="17" u="1"/>
        <n v="6.3" u="1"/>
        <n v="16.399999999999999" u="1"/>
        <n v="6.5" u="1"/>
        <n v="6.7" u="1"/>
        <n v="17.2" u="1"/>
        <n v="37.9" u="1"/>
        <n v="18" u="1"/>
        <n v="0.8" u="1"/>
        <n v="2.2000000000000002" u="1"/>
        <n v="2.2999999999999998" u="1"/>
        <n v="6.75" u="1"/>
        <n v="0.9" u="1"/>
        <n v="2.4" u="1"/>
        <n v="6.4" u="1"/>
        <n v="19" u="1"/>
        <n v="19.8" u="1"/>
        <n v="2.5" u="1"/>
        <n v="2.6" u="1"/>
        <n v="6.8" u="1"/>
        <n v="17.600000000000001" u="1"/>
        <n v="18.399999999999999" u="1"/>
        <n v="7" u="1"/>
        <n v="7.2" u="1"/>
        <n v="19.2" u="1"/>
        <n v="20" u="1"/>
        <n v="30.9" u="1"/>
        <n v="18.600000000000001" u="1"/>
        <n v="33" u="1"/>
        <n v="7.1" u="1"/>
        <n v="19.600000000000001" u="1"/>
        <n v="7.5" u="1"/>
        <n v="7.7" u="1"/>
        <n v="22" u="1"/>
        <n v="20.6" u="1"/>
        <n v="8.5299999999999994" u="1"/>
        <n v="2.9" u="1"/>
        <n v="5.39" u="1"/>
        <n v="7.4" u="1"/>
        <n v="7.6" u="1"/>
        <n v="23.8" u="1"/>
        <n v="3" u="1"/>
        <n v="21.6" u="1"/>
        <n v="37.4" u="1"/>
        <n v="8" u="1"/>
        <n v="8.4" u="1"/>
        <n v="24" u="1"/>
        <n v="36.200000000000003" u="1"/>
        <n v="8.1" u="1"/>
        <n v="22.6" u="1"/>
        <n v="8.5" u="1"/>
        <n v="8.9" u="1"/>
        <n v="42.6" u="1"/>
        <n v="7.9" u="1"/>
        <n v="25" u="1"/>
        <n v="8.6" u="1"/>
        <n v="9" u="1"/>
        <n v="9.4" u="1"/>
        <n v="0.4" u="1"/>
        <n v="8.6999999999999993" u="1"/>
        <n v="1.1000000000000001" u="1"/>
        <n v="24.6" u="1"/>
        <n v="25.4" u="1"/>
        <n v="3.2" u="1"/>
        <n v="9.5" u="1"/>
        <n v="9.9" u="1"/>
        <n v="1.3" u="1"/>
        <n v="8.8000000000000007" u="1"/>
        <n v="27" u="1"/>
        <n v="3.5" u="1"/>
        <n v="3.6" u="1"/>
        <n v="10" u="1"/>
        <n v="10.4" u="1"/>
        <n v="28" u="1"/>
        <n v="17.3" u="1"/>
        <n v="38.1" u="1"/>
        <n v="10.5" u="1"/>
        <n v="9.8000000000000007" u="1"/>
        <n v="10.6" u="1"/>
        <n v="11" u="1"/>
        <n v="11.4" u="1"/>
        <n v="16.100000000000001" u="1"/>
        <n v="10.3" u="1"/>
        <n v="10.7" u="1"/>
        <n v="17.7" u="1"/>
        <n v="30.8" u="1"/>
        <n v="1.35" u="1"/>
        <n v="1.4" u="1"/>
        <n v="11.1" u="1"/>
        <n v="0.5" u="1"/>
        <n v="3.8" u="1"/>
        <n v="11.5" u="1"/>
        <n v="17.100000000000001" u="1"/>
        <n v="1.5" u="1"/>
        <n v="10.8" u="1"/>
        <n v="18.7" u="1"/>
        <n v="4" u="1"/>
        <n v="19.5" u="1"/>
        <n v="12" u="1"/>
        <n v="18.100000000000001" u="1"/>
        <n v="18.899999999999999" u="1"/>
        <n v="11.3" u="1"/>
        <n v="11.7" u="1"/>
      </sharedItems>
    </cacheField>
    <cacheField name="JUEVES" numFmtId="0">
      <sharedItems containsString="0" containsBlank="1" containsNumber="1" minValue="0.21" maxValue="40.299999999999997" count="163">
        <m/>
        <n v="9"/>
        <n v="1.1000000000000001"/>
        <n v="9.27"/>
        <n v="6"/>
        <n v="7.5"/>
        <n v="17"/>
        <n v="0.21"/>
        <n v="1.8"/>
        <n v="4.2"/>
        <n v="12.1" u="1"/>
        <n v="20.5" u="1"/>
        <n v="12.5" u="1"/>
        <n v="19.100000000000001" u="1"/>
        <n v="19.899999999999999" u="1"/>
        <n v="4.3" u="1"/>
        <n v="35.6" u="1"/>
        <n v="4.5" u="1"/>
        <n v="22.3" u="1"/>
        <n v="13" u="1"/>
        <n v="20.100000000000001" u="1"/>
        <n v="0.6" u="1"/>
        <n v="1.6" u="1"/>
        <n v="13.1" u="1"/>
        <n v="23.3" u="1"/>
        <n v="1.7" u="1"/>
        <n v="4.4000000000000004" u="1"/>
        <n v="13.5" u="1"/>
        <n v="21.1" u="1"/>
        <n v="13.2" u="1"/>
        <n v="22.7" u="1"/>
        <n v="38" u="1"/>
        <n v="5" u="1"/>
        <n v="5.2" u="1"/>
        <n v="23.5" u="1"/>
        <n v="35.200000000000003" u="1"/>
        <n v="14" u="1"/>
        <n v="14.4" u="1"/>
        <n v="13.3" u="1"/>
        <n v="13.7" u="1"/>
        <n v="14.1" u="1"/>
        <n v="4.9000000000000004" u="1"/>
        <n v="23.9" u="1"/>
        <n v="5.3" u="1"/>
        <n v="5.5" u="1"/>
        <n v="5.7" u="1"/>
        <n v="14.6" u="1"/>
        <n v="26.3" u="1"/>
        <n v="2.19" u="1"/>
        <n v="15" u="1"/>
        <n v="24.1" u="1"/>
        <n v="0.7" u="1"/>
        <n v="15.1" u="1"/>
        <n v="0.75" u="1"/>
        <n v="5.4" u="1"/>
        <n v="15.5" u="1"/>
        <n v="35.1" u="1"/>
        <n v="2" u="1"/>
        <n v="5.8" u="1"/>
        <n v="15.2" u="1"/>
        <n v="6.2" u="1"/>
        <n v="15.6" u="1"/>
        <n v="16.8" u="1"/>
        <n v="2.0499999999999998" u="1"/>
        <n v="16.2" u="1"/>
        <n v="6.1" u="1"/>
        <n v="15.8" u="1"/>
        <n v="16.399999999999999" u="1"/>
        <n v="6.5" u="1"/>
        <n v="18" u="1"/>
        <n v="28.1" u="1"/>
        <n v="0.8" u="1"/>
        <n v="11.25" u="1"/>
        <n v="16.600000000000001" u="1"/>
        <n v="2.2000000000000002" u="1"/>
        <n v="2.2999999999999998" u="1"/>
        <n v="18.2" u="1"/>
        <n v="0.9" u="1"/>
        <n v="2.4" u="1"/>
        <n v="6.4" u="1"/>
        <n v="6.6" u="1"/>
        <n v="19" u="1"/>
        <n v="19.8" u="1"/>
        <n v="2.5" u="1"/>
        <n v="2.6" u="1"/>
        <n v="6.8" u="1"/>
        <n v="17.600000000000001" u="1"/>
        <n v="40.299999999999997" u="1"/>
        <n v="7" u="1"/>
        <n v="7.2" u="1"/>
        <n v="19.2" u="1"/>
        <n v="20" u="1"/>
        <n v="30.9" u="1"/>
        <n v="18.600000000000001" u="1"/>
        <n v="6.9" u="1"/>
        <n v="21" u="1"/>
        <n v="19.600000000000001" u="1"/>
        <n v="22" u="1"/>
        <n v="20.6" u="1"/>
        <n v="22.2" u="1"/>
        <n v="1" u="1"/>
        <n v="2.9" u="1"/>
        <n v="7.4" u="1"/>
        <n v="7.6" u="1"/>
        <n v="23" u="1"/>
        <n v="3" u="1"/>
        <n v="21.6" u="1"/>
        <n v="22.4" u="1"/>
        <n v="8" u="1"/>
        <n v="8.4" u="1"/>
        <n v="24" u="1"/>
        <n v="8.1" u="1"/>
        <n v="22.6" u="1"/>
        <n v="8.5" u="1"/>
        <n v="8.9" u="1"/>
        <n v="7.9" u="1"/>
        <n v="3.25" u="1"/>
        <n v="8.6" u="1"/>
        <n v="9.4" u="1"/>
        <n v="0.4" u="1"/>
        <n v="25.4" u="1"/>
        <n v="1.2" u="1"/>
        <n v="3.2" u="1"/>
        <n v="3.3" u="1"/>
        <n v="9.5" u="1"/>
        <n v="9.9" u="1"/>
        <n v="1.3" u="1"/>
        <n v="8.8000000000000007" u="1"/>
        <n v="9.1999999999999993" u="1"/>
        <n v="27" u="1"/>
        <n v="3.5" u="1"/>
        <n v="3.6" u="1"/>
        <n v="9.6" u="1"/>
        <n v="10" u="1"/>
        <n v="10.4" u="1"/>
        <n v="28.8" u="1"/>
        <n v="10.1" u="1"/>
        <n v="16.5" u="1"/>
        <n v="17.3" u="1"/>
        <n v="26.6" u="1"/>
        <n v="38.1" u="1"/>
        <n v="9.8000000000000007" u="1"/>
        <n v="16.7" u="1"/>
        <n v="10.6" u="1"/>
        <n v="11" u="1"/>
        <n v="16.100000000000001" u="1"/>
        <n v="10.3" u="1"/>
        <n v="10.7" u="1"/>
        <n v="1.35" u="1"/>
        <n v="1.4" u="1"/>
        <n v="0.5" u="1"/>
        <n v="3.8" u="1"/>
        <n v="17.100000000000001" u="1"/>
        <n v="1.5" u="1"/>
        <n v="10.8" u="1"/>
        <n v="18.7" u="1"/>
        <n v="31.8" u="1"/>
        <n v="4" u="1"/>
        <n v="11.6" u="1"/>
        <n v="19.5" u="1"/>
        <n v="12" u="1"/>
        <n v="11.3" u="1"/>
        <n v="11.7" u="1"/>
      </sharedItems>
    </cacheField>
    <cacheField name="VIERNES" numFmtId="0">
      <sharedItems containsString="0" containsBlank="1" containsNumber="1" minValue="0.4" maxValue="41.1" count="166">
        <m/>
        <n v="7.2"/>
        <n v="12.3"/>
        <n v="1.35"/>
        <n v="9.75"/>
        <n v="14.7"/>
        <n v="1.4"/>
        <n v="5"/>
        <n v="3.6"/>
        <n v="4.0999999999999996" u="1"/>
        <n v="12.5" u="1"/>
        <n v="4.5" u="1"/>
        <n v="4.7" u="1"/>
        <n v="12.6" u="1"/>
        <n v="22.3" u="1"/>
        <n v="31.6" u="1"/>
        <n v="13" u="1"/>
        <n v="20.100000000000001" u="1"/>
        <n v="0.6" u="1"/>
        <n v="1.6" u="1"/>
        <n v="13.1" u="1"/>
        <n v="23.3" u="1"/>
        <n v="1.7" u="1"/>
        <n v="4.4000000000000004" u="1"/>
        <n v="4.5999999999999996" u="1"/>
        <n v="13.5" u="1"/>
        <n v="1.8" u="1"/>
        <n v="4.8" u="1"/>
        <n v="13.2" u="1"/>
        <n v="14" u="1"/>
        <n v="14.4" u="1"/>
        <n v="22.9" u="1"/>
        <n v="13.7" u="1"/>
        <n v="24.5" u="1"/>
        <n v="4.9000000000000004" u="1"/>
        <n v="23.9" u="1"/>
        <n v="5.3" u="1"/>
        <n v="13.8" u="1"/>
        <n v="14.2" u="1"/>
        <n v="5.5" u="1"/>
        <n v="5.7" u="1"/>
        <n v="15" u="1"/>
        <n v="15.4" u="1"/>
        <n v="0.7" u="1"/>
        <n v="14.3" u="1"/>
        <n v="25.7" u="1"/>
        <n v="27.3" u="1"/>
        <n v="0.75" u="1"/>
        <n v="5.4" u="1"/>
        <n v="5.6" u="1"/>
        <n v="15.5" u="1"/>
        <n v="15.9" u="1"/>
        <n v="25.1" u="1"/>
        <n v="2" u="1"/>
        <n v="2.1" u="1"/>
        <n v="5.8" u="1"/>
        <n v="6" u="1"/>
        <n v="6.2" u="1"/>
        <n v="15.6" u="1"/>
        <n v="16.2" u="1"/>
        <n v="17" u="1"/>
        <n v="17.8" u="1"/>
        <n v="37.5" u="1"/>
        <n v="15.8" u="1"/>
        <n v="6.5" u="1"/>
        <n v="17.2" u="1"/>
        <n v="18" u="1"/>
        <n v="28.1" u="1"/>
        <n v="41.1" u="1"/>
        <n v="0.8" u="1"/>
        <n v="11.25" u="1"/>
        <n v="16.600000000000001" u="1"/>
        <n v="2.2000000000000002" u="1"/>
        <n v="2.2999999999999998" u="1"/>
        <n v="0.9" u="1"/>
        <n v="2.4" u="1"/>
        <n v="19" u="1"/>
        <n v="2.5" u="1"/>
        <n v="6.8" u="1"/>
        <n v="40.299999999999997" u="1"/>
        <n v="7" u="1"/>
        <n v="19.2" u="1"/>
        <n v="20" u="1"/>
        <n v="18.600000000000001" u="1"/>
        <n v="19.399999999999999" u="1"/>
        <n v="21.8" u="1"/>
        <n v="19.600000000000001" u="1"/>
        <n v="7.5" u="1"/>
        <n v="35" u="1"/>
        <n v="22" u="1"/>
        <n v="33.799999999999997" u="1"/>
        <n v="2.8" u="1"/>
        <n v="22.2" u="1"/>
        <n v="38.6" u="1"/>
        <n v="1" u="1"/>
        <n v="2.9" u="1"/>
        <n v="7.6" u="1"/>
        <n v="3" u="1"/>
        <n v="3.1" u="1"/>
        <n v="7.8" u="1"/>
        <n v="21.6" u="1"/>
        <n v="8" u="1"/>
        <n v="8.4" u="1"/>
        <n v="24" u="1"/>
        <n v="24.8" u="1"/>
        <n v="8.1" u="1"/>
        <n v="8.5" u="1"/>
        <n v="7.9" u="1"/>
        <n v="25" u="1"/>
        <n v="8.6" u="1"/>
        <n v="9" u="1"/>
        <n v="9.4" u="1"/>
        <n v="25.2" u="1"/>
        <n v="0.4" u="1"/>
        <n v="1.1000000000000001" u="1"/>
        <n v="9.1" u="1"/>
        <n v="24.6" u="1"/>
        <n v="0.45" u="1"/>
        <n v="1.2" u="1"/>
        <n v="3.2" u="1"/>
        <n v="3.3" u="1"/>
        <n v="9.9" u="1"/>
        <n v="1.3" u="1"/>
        <n v="8.8000000000000007" u="1"/>
        <n v="9.1999999999999993" u="1"/>
        <n v="27" u="1"/>
        <n v="3.5" u="1"/>
        <n v="9.6" u="1"/>
        <n v="0.88" u="1"/>
        <n v="10" u="1"/>
        <n v="10.4" u="1"/>
        <n v="33.299999999999997" u="1"/>
        <n v="9.3000000000000007" u="1"/>
        <n v="28.8" u="1"/>
        <n v="16.5" u="1"/>
        <n v="17.3" u="1"/>
        <n v="26.6" u="1"/>
        <n v="38.1" u="1"/>
        <n v="35.299999999999997" u="1"/>
        <n v="9.8000000000000007" u="1"/>
        <n v="10.6" u="1"/>
        <n v="11" u="1"/>
        <n v="11.4" u="1"/>
        <n v="16.100000000000001" u="1"/>
        <n v="10.3" u="1"/>
        <n v="10.7" u="1"/>
        <n v="17.7" u="1"/>
        <n v="11.1" u="1"/>
        <n v="0.5" u="1"/>
        <n v="3.7" u="1"/>
        <n v="3.8" u="1"/>
        <n v="11.5" u="1"/>
        <n v="17.100000000000001" u="1"/>
        <n v="39.299999999999997" u="1"/>
        <n v="1.5" u="1"/>
        <n v="10.8" u="1"/>
        <n v="11.2" u="1"/>
        <n v="18.7" u="1"/>
        <n v="31" u="1"/>
        <n v="4" u="1"/>
        <n v="11.6" u="1"/>
        <n v="19.5" u="1"/>
        <n v="20.3" u="1"/>
        <n v="12" u="1"/>
        <n v="31.2" u="1"/>
        <n v="11.3" u="1"/>
      </sharedItems>
    </cacheField>
    <cacheField name="SABADO " numFmtId="0">
      <sharedItems containsString="0" containsBlank="1" containsNumber="1" minValue="0.3" maxValue="48.6" count="187">
        <m/>
        <n v="7.8"/>
        <n v="19.100000000000001"/>
        <n v="9"/>
        <n v="5.4"/>
        <n v="1.02"/>
        <n v="16"/>
        <n v="1.35"/>
        <n v="1.75"/>
        <n v="12.5" u="1"/>
        <n v="4.3" u="1"/>
        <n v="12.2" u="1"/>
        <n v="20.7" u="1"/>
        <n v="4.5" u="1"/>
        <n v="4.7" u="1"/>
        <n v="12.6" u="1"/>
        <n v="21.5" u="1"/>
        <n v="22.3" u="1"/>
        <n v="13" u="1"/>
        <n v="20.100000000000001" u="1"/>
        <n v="21.7" u="1"/>
        <n v="0.6" u="1"/>
        <n v="1.6" u="1"/>
        <n v="22.5" u="1"/>
        <n v="1.7" u="1"/>
        <n v="4.4000000000000004" u="1"/>
        <n v="4.5999999999999996" u="1"/>
        <n v="13.9" u="1"/>
        <n v="1.8" u="1"/>
        <n v="4.8" u="1"/>
        <n v="12.8" u="1"/>
        <n v="13.2" u="1"/>
        <n v="22.7" u="1"/>
        <n v="5" u="1"/>
        <n v="14" u="1"/>
        <n v="14.4" u="1"/>
        <n v="13.3" u="1"/>
        <n v="13.7" u="1"/>
        <n v="37.200000000000003" u="1"/>
        <n v="4.9000000000000004" u="1"/>
        <n v="5.3" u="1"/>
        <n v="13.8" u="1"/>
        <n v="5.5" u="1"/>
        <n v="5.7" u="1"/>
        <n v="14.6" u="1"/>
        <n v="26.3" u="1"/>
        <n v="15" u="1"/>
        <n v="0.7" u="1"/>
        <n v="14.3" u="1"/>
        <n v="14.7" u="1"/>
        <n v="27.3" u="1"/>
        <n v="15.5" u="1"/>
        <n v="15.9" u="1"/>
        <n v="25.1" u="1"/>
        <n v="33.5" u="1"/>
        <n v="2" u="1"/>
        <n v="2.1" u="1"/>
        <n v="14.8" u="1"/>
        <n v="15.2" u="1"/>
        <n v="6" u="1"/>
        <n v="6.2" u="1"/>
        <n v="15.6" u="1"/>
        <n v="1.68" u="1"/>
        <n v="6.1" u="1"/>
        <n v="17" u="1"/>
        <n v="17.8" u="1"/>
        <n v="37.5" u="1"/>
        <n v="2.25" u="1"/>
        <n v="6.3" u="1"/>
        <n v="15.8" u="1"/>
        <n v="6.5" u="1"/>
        <n v="18" u="1"/>
        <n v="18.8" u="1"/>
        <n v="28.1" u="1"/>
        <n v="0.3" u="1"/>
        <n v="0.8" u="1"/>
        <n v="16.600000000000001" u="1"/>
        <n v="2.2000000000000002" u="1"/>
        <n v="18.2" u="1"/>
        <n v="0.9" u="1"/>
        <n v="2.4" u="1"/>
        <n v="6.4" u="1"/>
        <n v="19" u="1"/>
        <n v="2.5" u="1"/>
        <n v="2.6" u="1"/>
        <n v="6.8" u="1"/>
        <n v="40.299999999999997" u="1"/>
        <n v="7" u="1"/>
        <n v="7.2" u="1"/>
        <n v="19.2" u="1"/>
        <n v="20" u="1"/>
        <n v="20.8" u="1"/>
        <n v="30.9" u="1"/>
        <n v="18.600000000000001" u="1"/>
        <n v="19.399999999999999" u="1"/>
        <n v="20.2" u="1"/>
        <n v="34.6" u="1"/>
        <n v="19.600000000000001" u="1"/>
        <n v="7.5" u="1"/>
        <n v="7.7" u="1"/>
        <n v="35" u="1"/>
        <n v="22" u="1"/>
        <n v="46.3" u="1"/>
        <n v="2.7" u="1"/>
        <n v="2.8" u="1"/>
        <n v="38.6" u="1"/>
        <n v="1" u="1"/>
        <n v="2.9" u="1"/>
        <n v="3" u="1"/>
        <n v="3.1" u="1"/>
        <n v="21.6" u="1"/>
        <n v="8" u="1"/>
        <n v="8.4" u="1"/>
        <n v="24" u="1"/>
        <n v="8.1" u="1"/>
        <n v="22.6" u="1"/>
        <n v="8.5" u="1"/>
        <n v="8.9" u="1"/>
        <n v="24.2" u="1"/>
        <n v="7.9" u="1"/>
        <n v="25" u="1"/>
        <n v="8.6" u="1"/>
        <n v="9.4" u="1"/>
        <n v="0.4" u="1"/>
        <n v="8.6999999999999993" u="1"/>
        <n v="1.1000000000000001" u="1"/>
        <n v="9.1" u="1"/>
        <n v="24.6" u="1"/>
        <n v="1.2" u="1"/>
        <n v="3.2" u="1"/>
        <n v="9.5" u="1"/>
        <n v="1.3" u="1"/>
        <n v="8.8000000000000007" u="1"/>
        <n v="9.1999999999999993" u="1"/>
        <n v="27" u="1"/>
        <n v="27.8" u="1"/>
        <n v="3.5" u="1"/>
        <n v="3.6" u="1"/>
        <n v="9.6" u="1"/>
        <n v="10" u="1"/>
        <n v="10.4" u="1"/>
        <n v="48.6" u="1"/>
        <n v="9.3000000000000007" u="1"/>
        <n v="9.6999999999999993" u="1"/>
        <n v="28.8" u="1"/>
        <n v="1.67" u="1"/>
        <n v="10.1" u="1"/>
        <n v="16.5" u="1"/>
        <n v="17.3" u="1"/>
        <n v="26.6" u="1"/>
        <n v="10.5" u="1"/>
        <n v="10.9" u="1"/>
        <n v="35.299999999999997" u="1"/>
        <n v="9.8000000000000007" u="1"/>
        <n v="16.7" u="1"/>
        <n v="10.6" u="1"/>
        <n v="28.4" u="1"/>
        <n v="38.5" u="1"/>
        <n v="11" u="1"/>
        <n v="11.4" u="1"/>
        <n v="16.100000000000001" u="1"/>
        <n v="10.3" u="1"/>
        <n v="10.7" u="1"/>
        <n v="17.7" u="1"/>
        <n v="30" u="1"/>
        <n v="1.4" u="1"/>
        <n v="0.5" u="1"/>
        <n v="3.7" u="1"/>
        <n v="3.8" u="1"/>
        <n v="11.5" u="1"/>
        <n v="17.100000000000001" u="1"/>
        <n v="30.2" u="1"/>
        <n v="1.5" u="1"/>
        <n v="10.8" u="1"/>
        <n v="11.2" u="1"/>
        <n v="18.7" u="1"/>
        <n v="4" u="1"/>
        <n v="4.2" u="1"/>
        <n v="11.6" u="1"/>
        <n v="19.5" u="1"/>
        <n v="20.3" u="1"/>
        <n v="12" u="1"/>
        <n v="18.899999999999999" u="1"/>
        <n v="31.2" u="1"/>
        <n v="11.3" u="1"/>
        <n v="11.7" u="1"/>
        <n v="33.6" u="1"/>
      </sharedItems>
    </cacheField>
    <cacheField name="DOMINGO" numFmtId="0">
      <sharedItems containsString="0" containsBlank="1" containsNumber="1" minValue="0" maxValue="66.3" count="167">
        <m/>
        <n v="19.5"/>
        <n v="3.13"/>
        <n v="15.45"/>
        <n v="5.4"/>
        <n v="1.35"/>
        <n v="9"/>
        <n v="3"/>
        <n v="0" u="1"/>
        <n v="12.1" u="1"/>
        <n v="20.5" u="1"/>
        <n v="46.1" u="1"/>
        <n v="12.5" u="1"/>
        <n v="4.3" u="1"/>
        <n v="4.5" u="1"/>
        <n v="4.7" u="1"/>
        <n v="12.6" u="1"/>
        <n v="13" u="1"/>
        <n v="13.4" u="1"/>
        <n v="20.100000000000001" u="1"/>
        <n v="12.3" u="1"/>
        <n v="0.6" u="1"/>
        <n v="1.6" u="1"/>
        <n v="1.7" u="1"/>
        <n v="4.4000000000000004" u="1"/>
        <n v="4.5999999999999996" u="1"/>
        <n v="13.5" u="1"/>
        <n v="13.9" u="1"/>
        <n v="1.8" u="1"/>
        <n v="13.2" u="1"/>
        <n v="5" u="1"/>
        <n v="5.2" u="1"/>
        <n v="14" u="1"/>
        <n v="14.4" u="1"/>
        <n v="13.7" u="1"/>
        <n v="14.1" u="1"/>
        <n v="5.3" u="1"/>
        <n v="9.15" u="1"/>
        <n v="5.5" u="1"/>
        <n v="5.7" u="1"/>
        <n v="26.3" u="1"/>
        <n v="15" u="1"/>
        <n v="15.4" u="1"/>
        <n v="0.7" u="1"/>
        <n v="2" u="1"/>
        <n v="2.1" u="1"/>
        <n v="6" u="1"/>
        <n v="6.2" u="1"/>
        <n v="15.6" u="1"/>
        <n v="27.5" u="1"/>
        <n v="33.9" u="1"/>
        <n v="5.85" u="1"/>
        <n v="16" u="1"/>
        <n v="16.8" u="1"/>
        <n v="26.9" u="1"/>
        <n v="37.1" u="1"/>
        <n v="2.0499999999999998" u="1"/>
        <n v="16.2" u="1"/>
        <n v="5.9" u="1"/>
        <n v="17.8" u="1"/>
        <n v="37.5" u="1"/>
        <n v="2.25" u="1"/>
        <n v="6.3" u="1"/>
        <n v="15.8" u="1"/>
        <n v="6.5" u="1"/>
        <n v="17.2" u="1"/>
        <n v="37.9" u="1"/>
        <n v="18" u="1"/>
        <n v="41.1" u="1"/>
        <n v="2.2000000000000002" u="1"/>
        <n v="6.75" u="1"/>
        <n v="18.2" u="1"/>
        <n v="0.9" u="1"/>
        <n v="2.4" u="1"/>
        <n v="19" u="1"/>
        <n v="2.5" u="1"/>
        <n v="2.6" u="1"/>
        <n v="6.8" u="1"/>
        <n v="7" u="1"/>
        <n v="7.2" u="1"/>
        <n v="19.2" u="1"/>
        <n v="1.02" u="1"/>
        <n v="20" u="1"/>
        <n v="13.68" u="1"/>
        <n v="18.600000000000001" u="1"/>
        <n v="19.399999999999999" u="1"/>
        <n v="21" u="1"/>
        <n v="7.5" u="1"/>
        <n v="35" u="1"/>
        <n v="20.6" u="1"/>
        <n v="2.8" u="1"/>
        <n v="1" u="1"/>
        <n v="1.05" u="1"/>
        <n v="2.9" u="1"/>
        <n v="23" u="1"/>
        <n v="3.1" u="1"/>
        <n v="21.6" u="1"/>
        <n v="8" u="1"/>
        <n v="8.4" u="1"/>
        <n v="24" u="1"/>
        <n v="8.1" u="1"/>
        <n v="22.6" u="1"/>
        <n v="23.4" u="1"/>
        <n v="8.5" u="1"/>
        <n v="8.9" u="1"/>
        <n v="7.9" u="1"/>
        <n v="8.1999999999999993" u="1"/>
        <n v="25" u="1"/>
        <n v="24.4" u="1"/>
        <n v="9.4" u="1"/>
        <n v="0.4" u="1"/>
        <n v="26" u="1"/>
        <n v="1.1000000000000001" u="1"/>
        <n v="9.1" u="1"/>
        <n v="24.6" u="1"/>
        <n v="1.2" u="1"/>
        <n v="3.2" u="1"/>
        <n v="3.3" u="1"/>
        <n v="9.5" u="1"/>
        <n v="9.9" u="1"/>
        <n v="8.8000000000000007" u="1"/>
        <n v="27" u="1"/>
        <n v="42.2" u="1"/>
        <n v="3.5" u="1"/>
        <n v="3.6" u="1"/>
        <n v="9.6" u="1"/>
        <n v="10" u="1"/>
        <n v="10.4" u="1"/>
        <n v="33.299999999999997" u="1"/>
        <n v="9.3000000000000007" u="1"/>
        <n v="9.6999999999999993" u="1"/>
        <n v="28.8" u="1"/>
        <n v="16.5" u="1"/>
        <n v="26.6" u="1"/>
        <n v="27.4" u="1"/>
        <n v="38.1" u="1"/>
        <n v="66.3" u="1"/>
        <n v="10.5" u="1"/>
        <n v="10.9" u="1"/>
        <n v="28.2" u="1"/>
        <n v="9.8000000000000007" u="1"/>
        <n v="10.199999999999999" u="1"/>
        <n v="18.3" u="1"/>
        <n v="27.6" u="1"/>
        <n v="11" u="1"/>
        <n v="11.4" u="1"/>
        <n v="16.100000000000001" u="1"/>
        <n v="10.3" u="1"/>
        <n v="10.7" u="1"/>
        <n v="17.7" u="1"/>
        <n v="1.4" u="1"/>
        <n v="11.1" u="1"/>
        <n v="19.3" u="1"/>
        <n v="0.5" u="1"/>
        <n v="3.8" u="1"/>
        <n v="11.5" u="1"/>
        <n v="17.100000000000001" u="1"/>
        <n v="1.5" u="1"/>
        <n v="10.8" u="1"/>
        <n v="4" u="1"/>
        <n v="11.6" u="1"/>
        <n v="20.3" u="1"/>
        <n v="29.6" u="1"/>
        <n v="12" u="1"/>
        <n v="18.899999999999999" u="1"/>
        <n v="11.7" u="1"/>
        <n v="19.7" u="1"/>
      </sharedItems>
    </cacheField>
    <cacheField name="LUNES" numFmtId="0">
      <sharedItems containsString="0" containsBlank="1" containsNumber="1" minValue="0.2" maxValue="42.2" count="184">
        <m/>
        <n v="9"/>
        <n v="21.38"/>
        <n v="9.4600000000000009"/>
        <n v="4"/>
        <n v="4.8"/>
        <n v="2.7"/>
        <n v="12.5" u="1"/>
        <n v="4.3" u="1"/>
        <n v="35.6" u="1"/>
        <n v="4.5" u="1"/>
        <n v="4.7" u="1"/>
        <n v="12.6" u="1"/>
        <n v="22.3" u="1"/>
        <n v="0.2" u="1"/>
        <n v="13" u="1"/>
        <n v="20.9" u="1"/>
        <n v="12.7" u="1"/>
        <n v="0.6" u="1"/>
        <n v="1.6" u="1"/>
        <n v="1.65" u="1"/>
        <n v="22.5" u="1"/>
        <n v="23.3" u="1"/>
        <n v="1.7" u="1"/>
        <n v="4.4000000000000004" u="1"/>
        <n v="4.5999999999999996" u="1"/>
        <n v="13.5" u="1"/>
        <n v="13.9" u="1"/>
        <n v="1.8" u="1"/>
        <n v="12.8" u="1"/>
        <n v="13.2" u="1"/>
        <n v="5" u="1"/>
        <n v="5.2" u="1"/>
        <n v="14" u="1"/>
        <n v="14.4" u="1"/>
        <n v="13.7" u="1"/>
        <n v="14.1" u="1"/>
        <n v="24.5" u="1"/>
        <n v="5.0999999999999996" u="1"/>
        <n v="40.4" u="1"/>
        <n v="5.3" u="1"/>
        <n v="5.5" u="1"/>
        <n v="5.7" u="1"/>
        <n v="15" u="1"/>
        <n v="0.7" u="1"/>
        <n v="25.7" u="1"/>
        <n v="5.4" u="1"/>
        <n v="5.6" u="1"/>
        <n v="25.1" u="1"/>
        <n v="2" u="1"/>
        <n v="2.1" u="1"/>
        <n v="14.8" u="1"/>
        <n v="6" u="1"/>
        <n v="6.2" u="1"/>
        <n v="15.6" u="1"/>
        <n v="16" u="1"/>
        <n v="16.8" u="1"/>
        <n v="15.3" u="1"/>
        <n v="16.2" u="1"/>
        <n v="28.5" u="1"/>
        <n v="6.3" u="1"/>
        <n v="15.8" u="1"/>
        <n v="16.399999999999999" u="1"/>
        <n v="6.5" u="1"/>
        <n v="37.9" u="1"/>
        <n v="18" u="1"/>
        <n v="18.8" u="1"/>
        <n v="0.3" u="1"/>
        <n v="0.8" u="1"/>
        <n v="29.7" u="1"/>
        <n v="38.299999999999997" u="1"/>
        <n v="2.2000000000000002" u="1"/>
        <n v="18.2" u="1"/>
        <n v="0.9" u="1"/>
        <n v="2.4" u="1"/>
        <n v="6.6" u="1"/>
        <n v="19" u="1"/>
        <n v="2.5" u="1"/>
        <n v="2.6" u="1"/>
        <n v="6.8" u="1"/>
        <n v="17.600000000000001" u="1"/>
        <n v="18.399999999999999" u="1"/>
        <n v="7" u="1"/>
        <n v="7.2" u="1"/>
        <n v="19.2" u="1"/>
        <n v="20" u="1"/>
        <n v="18.600000000000001" u="1"/>
        <n v="19.399999999999999" u="1"/>
        <n v="33" u="1"/>
        <n v="34.6" u="1"/>
        <n v="6.9" u="1"/>
        <n v="21" u="1"/>
        <n v="2.85" u="1"/>
        <n v="7.3" u="1"/>
        <n v="20.399999999999999" u="1"/>
        <n v="7.5" u="1"/>
        <n v="7.7" u="1"/>
        <n v="22.8" u="1"/>
        <n v="32.200000000000003" u="1"/>
        <n v="20.6" u="1"/>
        <n v="21.4" u="1"/>
        <n v="2.8" u="1"/>
        <n v="8.5299999999999994" u="1"/>
        <n v="1" u="1"/>
        <n v="2.9" u="1"/>
        <n v="10.36" u="1"/>
        <n v="23.8" u="1"/>
        <n v="3" u="1"/>
        <n v="3.1" u="1"/>
        <n v="7.8" u="1"/>
        <n v="21.6" u="1"/>
        <n v="37.4" u="1"/>
        <n v="8" u="1"/>
        <n v="8.4" u="1"/>
        <n v="20.54" u="1"/>
        <n v="24" u="1"/>
        <n v="8.1" u="1"/>
        <n v="22.6" u="1"/>
        <n v="8.5" u="1"/>
        <n v="7.9" u="1"/>
        <n v="8.1999999999999993" u="1"/>
        <n v="25" u="1"/>
        <n v="8.6" u="1"/>
        <n v="9.4" u="1"/>
        <n v="0.4" u="1"/>
        <n v="26" u="1"/>
        <n v="1.1000000000000001" u="1"/>
        <n v="25.4" u="1"/>
        <n v="1.2" u="1"/>
        <n v="3.2" u="1"/>
        <n v="9.5" u="1"/>
        <n v="9.9" u="1"/>
        <n v="3.4" u="1"/>
        <n v="8.8000000000000007" u="1"/>
        <n v="27" u="1"/>
        <n v="42.2" u="1"/>
        <n v="3.5" u="1"/>
        <n v="3.6" u="1"/>
        <n v="9.6" u="1"/>
        <n v="26.4" u="1"/>
        <n v="36.1" u="1"/>
        <n v="10" u="1"/>
        <n v="10.4" u="1"/>
        <n v="27.2" u="1"/>
        <n v="9.3000000000000007" u="1"/>
        <n v="9.6999999999999993" u="1"/>
        <n v="28" u="1"/>
        <n v="10.1" u="1"/>
        <n v="17.3" u="1"/>
        <n v="38.1" u="1"/>
        <n v="10.5" u="1"/>
        <n v="10.9" u="1"/>
        <n v="28.2" u="1"/>
        <n v="9.8000000000000007" u="1"/>
        <n v="10.199999999999999" u="1"/>
        <n v="27.6" u="1"/>
        <n v="40.1" u="1"/>
        <n v="11" u="1"/>
        <n v="11.4" u="1"/>
        <n v="10.3" u="1"/>
        <n v="10.7" u="1"/>
        <n v="17.7" u="1"/>
        <n v="30" u="1"/>
        <n v="1.4" u="1"/>
        <n v="11.1" u="1"/>
        <n v="0.5" u="1"/>
        <n v="3.7" u="1"/>
        <n v="3.8" u="1"/>
        <n v="11.5" u="1"/>
        <n v="17.100000000000001" u="1"/>
        <n v="1.5" u="1"/>
        <n v="10.8" u="1"/>
        <n v="18.7" u="1"/>
        <n v="31" u="1"/>
        <n v="11.6" u="1"/>
        <n v="19.5" u="1"/>
        <n v="20.3" u="1"/>
        <n v="12" u="1"/>
        <n v="12.4" u="1"/>
        <n v="18.899999999999999" u="1"/>
        <n v="11.3" u="1"/>
        <n v="11.7" u="1"/>
        <n v="19.7" u="1"/>
        <n v="33.6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m" refreshedDate="44576.395661805553" createdVersion="6" refreshedVersion="7" minRefreshableVersion="3" recordCount="26" xr:uid="{00000000-000A-0000-FFFF-FFFF3D000000}">
  <cacheSource type="worksheet">
    <worksheetSource ref="A3:AC29" sheet="IMSS 1"/>
  </cacheSource>
  <cacheFields count="29">
    <cacheField name="No." numFmtId="1">
      <sharedItems containsString="0" containsBlank="1" containsNumber="1" containsInteger="1" minValue="1" maxValue="25" count="2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m/>
      </sharedItems>
    </cacheField>
    <cacheField name="Producto" numFmtId="0">
      <sharedItems containsBlank="1" count="28">
        <s v="CHULETA DE CERDO"/>
        <s v="LOMO DE CERDO"/>
        <s v="PIERNA DE CERDO EN TROZO"/>
        <s v="PIERNA DE CERDO MOLIDA"/>
        <s v="MERO EN FILETE CONGELADO"/>
        <s v="PECHUGA DE POLLO "/>
        <s v="PECHUGA DE POLLO DESHUESADA"/>
        <s v="PECHUGA  DESHUESADA EN BISTEC"/>
        <s v="PECHUGA DE POLLO  MÓLIDA"/>
        <s v="PIERNA Y MUSLO DE POLLO SIN PIEL EN FORMA DE PISTOLA"/>
        <s v="POLLO ENTERO"/>
        <s v="BISTEC DE PIERNA DE RES"/>
        <s v="CHAMBARETE DE RES"/>
        <s v="CUETE DE PIERNA DE RES"/>
        <s v="FALDA DE RES"/>
        <s v="PULPA DE RES EN TROZO"/>
        <s v="PULPA DE RES MOLIDA"/>
        <s v="HUEVO ENTERO"/>
        <s v="JAMÓN DE CERDO FINO CON 16% DE PROTEÍNA"/>
        <s v="JAMÓN DE PAVO"/>
        <s v="JAMÓN DE PECHUGA DE PAVO"/>
        <s v="MORTADELA"/>
        <s v="SALCHICHA DE CERDO VIENA"/>
        <s v="SALCHICHA DE PAVO VIENA"/>
        <s v="TOCINO"/>
        <m/>
        <s v="MERO" u="1"/>
        <s v="PIERNA Y MUSLO DE POLLO" u="1"/>
      </sharedItems>
    </cacheField>
    <cacheField name="Martes" numFmtId="0">
      <sharedItems containsString="0" containsBlank="1" containsNumber="1" minValue="0" maxValue="45" count="182">
        <n v="0"/>
        <n v="11.48"/>
        <n v="0.96"/>
        <n v="19.8"/>
        <n v="10.8"/>
        <n v="13.2"/>
        <n v="8.1"/>
        <n v="10.29"/>
        <n v="0.66"/>
        <n v="1.88"/>
        <n v="1.72"/>
        <n v="0.55000000000000004"/>
        <m/>
        <n v="12.1" u="1"/>
        <n v="21.3" u="1"/>
        <n v="12.5" u="1"/>
        <n v="12.9" u="1"/>
        <n v="4.3" u="1"/>
        <n v="20.7" u="1"/>
        <n v="4.5" u="1"/>
        <n v="12.6" u="1"/>
        <n v="31.6" u="1"/>
        <n v="0.2" u="1"/>
        <n v="13" u="1"/>
        <n v="12.7" u="1"/>
        <n v="21.7" u="1"/>
        <n v="0.6" u="1"/>
        <n v="1.6" u="1"/>
        <n v="13.1" u="1"/>
        <n v="22.5" u="1"/>
        <n v="23.3" u="1"/>
        <n v="1.7" u="1"/>
        <n v="4.4000000000000004" u="1"/>
        <n v="4.5999999999999996" u="1"/>
        <n v="13.5" u="1"/>
        <n v="1.8" u="1"/>
        <n v="4.8" u="1"/>
        <n v="39.6" u="1"/>
        <n v="5" u="1"/>
        <n v="13.6" u="1"/>
        <n v="23.5" u="1"/>
        <n v="24.3" u="1"/>
        <n v="14" u="1"/>
        <n v="22.9" u="1"/>
        <n v="38.4" u="1"/>
        <n v="13.3" u="1"/>
        <n v="40" u="1"/>
        <n v="24.5" u="1"/>
        <n v="4.9000000000000004" u="1"/>
        <n v="5.0999999999999996" u="1"/>
        <n v="14.5" u="1"/>
        <n v="23.1" u="1"/>
        <n v="5.5" u="1"/>
        <n v="25.5" u="1"/>
        <n v="26.3" u="1"/>
        <n v="15" u="1"/>
        <n v="15.4" u="1"/>
        <n v="0.7" u="1"/>
        <n v="14.7" u="1"/>
        <n v="25.7" u="1"/>
        <n v="26.5" u="1"/>
        <n v="5.4" u="1"/>
        <n v="5.6" u="1"/>
        <n v="15.5" u="1"/>
        <n v="15.9" u="1"/>
        <n v="33.5" u="1"/>
        <n v="2" u="1"/>
        <n v="6" u="1"/>
        <n v="15.6" u="1"/>
        <n v="16" u="1"/>
        <n v="34.299999999999997" u="1"/>
        <n v="4.0049999999999999" u="1"/>
        <n v="16.2" u="1"/>
        <n v="6.1" u="1"/>
        <n v="17" u="1"/>
        <n v="6.3" u="1"/>
        <n v="15.8" u="1"/>
        <n v="16.399999999999999" u="1"/>
        <n v="6.5" u="1"/>
        <n v="30.3" u="1"/>
        <n v="18" u="1"/>
        <n v="0.3" u="1"/>
        <n v="17.399999999999999" u="1"/>
        <n v="29.7" u="1"/>
        <n v="2.2999999999999998" u="1"/>
        <n v="18.2" u="1"/>
        <n v="39.9" u="1"/>
        <n v="0.9" u="1"/>
        <n v="2.4" u="1"/>
        <n v="6.4" u="1"/>
        <n v="6.6" u="1"/>
        <n v="2.5" u="1"/>
        <n v="2.6" u="1"/>
        <n v="6.8" u="1"/>
        <n v="17.600000000000001" u="1"/>
        <n v="18.399999999999999" u="1"/>
        <n v="7" u="1"/>
        <n v="31.5" u="1"/>
        <n v="20" u="1"/>
        <n v="30.9" u="1"/>
        <n v="6.9" u="1"/>
        <n v="7.1" u="1"/>
        <n v="21" u="1"/>
        <n v="21.8" u="1"/>
        <n v="7.3" u="1"/>
        <n v="20.399999999999999" u="1"/>
        <n v="44.3" u="1"/>
        <n v="7.5" u="1"/>
        <n v="35" u="1"/>
        <n v="22" u="1"/>
        <n v="22.8" u="1"/>
        <n v="2.7" u="1"/>
        <n v="2.8" u="1"/>
        <n v="1" u="1"/>
        <n v="2.9" u="1"/>
        <n v="12.72" u="1"/>
        <n v="23" u="1"/>
        <n v="23.8" u="1"/>
        <n v="3" u="1"/>
        <n v="3.1" u="1"/>
        <n v="21.6" u="1"/>
        <n v="8" u="1"/>
        <n v="13.22" u="1"/>
        <n v="24" u="1"/>
        <n v="24.8" u="1"/>
        <n v="22.6" u="1"/>
        <n v="8.5" u="1"/>
        <n v="24.2" u="1"/>
        <n v="25" u="1"/>
        <n v="8.6" u="1"/>
        <n v="23.6" u="1"/>
        <n v="9" u="1"/>
        <n v="0.4" u="1"/>
        <n v="8.3000000000000007" u="1"/>
        <n v="9.1" u="1"/>
        <n v="24.6" u="1"/>
        <n v="1.2" u="1"/>
        <n v="3.2" u="1"/>
        <n v="3.3" u="1"/>
        <n v="9.9" u="1"/>
        <n v="21.55" u="1"/>
        <n v="26.2" u="1"/>
        <n v="45" u="1"/>
        <n v="1.3" u="1"/>
        <n v="8.8000000000000007" u="1"/>
        <n v="9.1999999999999993" u="1"/>
        <n v="3.5" u="1"/>
        <n v="9.6" u="1"/>
        <n v="16.3" u="1"/>
        <n v="25.6" u="1"/>
        <n v="34.5" u="1"/>
        <n v="10" u="1"/>
        <n v="21.75" u="1"/>
        <n v="9.3000000000000007" u="1"/>
        <n v="16.5" u="1"/>
        <n v="10.9" u="1"/>
        <n v="29" u="1"/>
        <n v="0.72" u="1"/>
        <n v="17.5" u="1"/>
        <n v="11" u="1"/>
        <n v="16.100000000000001" u="1"/>
        <n v="10.7" u="1"/>
        <n v="30" u="1"/>
        <n v="1.4" u="1"/>
        <n v="11.1" u="1"/>
        <n v="18.5" u="1"/>
        <n v="0.5" u="1"/>
        <n v="11.9" u="1"/>
        <n v="17.899999999999999" u="1"/>
        <n v="1.5" u="1"/>
        <n v="11.2" u="1"/>
        <n v="31" u="1"/>
        <n v="4" u="1"/>
        <n v="4.2" u="1"/>
        <n v="20.3" u="1"/>
        <n v="29.6" u="1"/>
        <n v="42.5" u="1"/>
        <n v="12" u="1"/>
        <n v="12.4" u="1"/>
        <n v="18.100000000000001" u="1"/>
        <n v="19.7" u="1"/>
        <n v="32" u="1"/>
      </sharedItems>
    </cacheField>
    <cacheField name="Miercoles" numFmtId="0">
      <sharedItems containsString="0" containsBlank="1" containsNumber="1" minValue="0" maxValue="72" count="173">
        <n v="0"/>
        <n v="20.079999999999998"/>
        <n v="3.6"/>
        <n v="21.15"/>
        <n v="12"/>
        <n v="1.1399999999999999"/>
        <n v="0.76"/>
        <m/>
        <n v="12.1" u="1"/>
        <n v="44.5" u="1"/>
        <n v="12.5" u="1"/>
        <n v="12.9" u="1"/>
        <n v="4.3" u="1"/>
        <n v="20.7" u="1"/>
        <n v="34" u="1"/>
        <n v="4.5" u="1"/>
        <n v="0.2" u="1"/>
        <n v="13.4" u="1"/>
        <n v="12.3" u="1"/>
        <n v="12.7" u="1"/>
        <n v="21.7" u="1"/>
        <n v="0.6" u="1"/>
        <n v="1.6" u="1"/>
        <n v="13.1" u="1"/>
        <n v="22.5" u="1"/>
        <n v="23.3" u="1"/>
        <n v="1.7" u="1"/>
        <n v="4.5999999999999996" u="1"/>
        <n v="13.5" u="1"/>
        <n v="1.8" u="1"/>
        <n v="4.8" u="1"/>
        <n v="13.2" u="1"/>
        <n v="39.6" u="1"/>
        <n v="4.0199999999999996" u="1"/>
        <n v="5" u="1"/>
        <n v="23.5" u="1"/>
        <n v="24.3" u="1"/>
        <n v="14" u="1"/>
        <n v="22.9" u="1"/>
        <n v="38.4" u="1"/>
        <n v="13.3" u="1"/>
        <n v="14.1" u="1"/>
        <n v="24.5" u="1"/>
        <n v="25.3" u="1"/>
        <n v="4.9000000000000004" u="1"/>
        <n v="5.0999999999999996" u="1"/>
        <n v="14.5" u="1"/>
        <n v="23.1" u="1"/>
        <n v="5.3" u="1"/>
        <n v="26.3" u="1"/>
        <n v="15" u="1"/>
        <n v="15.4" u="1"/>
        <n v="0.7" u="1"/>
        <n v="14.7" u="1"/>
        <n v="26.5" u="1"/>
        <n v="5.4" u="1"/>
        <n v="5.6" u="1"/>
        <n v="25.1" u="1"/>
        <n v="33.5" u="1"/>
        <n v="2" u="1"/>
        <n v="2.1" u="1"/>
        <n v="32.299999999999997" u="1"/>
        <n v="6" u="1"/>
        <n v="16" u="1"/>
        <n v="0.96" u="1"/>
        <n v="16.2" u="1"/>
        <n v="6.1" u="1"/>
        <n v="17" u="1"/>
        <n v="27.9" u="1"/>
        <n v="6.3" u="1"/>
        <n v="15.8" u="1"/>
        <n v="16.399999999999999" u="1"/>
        <n v="0.1" u="1"/>
        <n v="6.5" u="1"/>
        <n v="6.7" u="1"/>
        <n v="30.3" u="1"/>
        <n v="18" u="1"/>
        <n v="0.3" u="1"/>
        <n v="0.8" u="1"/>
        <n v="17.399999999999999" u="1"/>
        <n v="29.7" u="1"/>
        <n v="38.299999999999997" u="1"/>
        <n v="2.2999999999999998" u="1"/>
        <n v="6.95" u="1"/>
        <n v="18.2" u="1"/>
        <n v="65" u="1"/>
        <n v="0.9" u="1"/>
        <n v="6.4" u="1"/>
        <n v="6.6" u="1"/>
        <n v="19" u="1"/>
        <n v="2.5" u="1"/>
        <n v="7" u="1"/>
        <n v="31.5" u="1"/>
        <n v="11.22" u="1"/>
        <n v="33" u="1"/>
        <n v="7.1" u="1"/>
        <n v="21" u="1"/>
        <n v="21.8" u="1"/>
        <n v="7.3" u="1"/>
        <n v="20.399999999999999" u="1"/>
        <n v="7.5" u="1"/>
        <n v="22" u="1"/>
        <n v="22.8" u="1"/>
        <n v="2.7" u="1"/>
        <n v="1" u="1"/>
        <n v="2.9" u="1"/>
        <n v="23" u="1"/>
        <n v="23.8" u="1"/>
        <n v="34.200000000000003" u="1"/>
        <n v="3" u="1"/>
        <n v="3.1" u="1"/>
        <n v="21.6" u="1"/>
        <n v="22.4" u="1"/>
        <n v="8" u="1"/>
        <n v="24" u="1"/>
        <n v="24.8" u="1"/>
        <n v="22.6" u="1"/>
        <n v="8.5" u="1"/>
        <n v="8.9" u="1"/>
        <n v="24.2" u="1"/>
        <n v="25" u="1"/>
        <n v="8.6" u="1"/>
        <n v="23.6" u="1"/>
        <n v="9" u="1"/>
        <n v="0.4" u="1"/>
        <n v="8.6999999999999993" u="1"/>
        <n v="26" u="1"/>
        <n v="9.1" u="1"/>
        <n v="72" u="1"/>
        <n v="3.2" u="1"/>
        <n v="3.3" u="1"/>
        <n v="9.9" u="1"/>
        <n v="10.53" u="1"/>
        <n v="26.2" u="1"/>
        <n v="45" u="1"/>
        <n v="8.8000000000000007" u="1"/>
        <n v="9.1999999999999993" u="1"/>
        <n v="27" u="1"/>
        <n v="3.5" u="1"/>
        <n v="9.6" u="1"/>
        <n v="16.3" u="1"/>
        <n v="25.6" u="1"/>
        <n v="26.4" u="1"/>
        <n v="33.299999999999997" u="1"/>
        <n v="9.3000000000000007" u="1"/>
        <n v="9.6999999999999993" u="1"/>
        <n v="28" u="1"/>
        <n v="16.5" u="1"/>
        <n v="10.9" u="1"/>
        <n v="29" u="1"/>
        <n v="17.5" u="1"/>
        <n v="11" u="1"/>
        <n v="13.725" u="1"/>
        <n v="10.3" u="1"/>
        <n v="10.7" u="1"/>
        <n v="30" u="1"/>
        <n v="1.4" u="1"/>
        <n v="18.5" u="1"/>
        <n v="0.5" u="1"/>
        <n v="17.899999999999999" u="1"/>
        <n v="1.5" u="1"/>
        <n v="10.8" u="1"/>
        <n v="11.2" u="1"/>
        <n v="4" u="1"/>
        <n v="4.2" u="1"/>
        <n v="20.3" u="1"/>
        <n v="29.6" u="1"/>
        <n v="42.5" u="1"/>
        <n v="12.4" u="1"/>
        <n v="18.100000000000001" u="1"/>
        <n v="11.7" u="1"/>
        <n v="19.7" u="1"/>
        <n v="32" u="1"/>
      </sharedItems>
    </cacheField>
    <cacheField name="Jueves " numFmtId="0">
      <sharedItems containsString="0" containsBlank="1" containsNumber="1" minValue="0" maxValue="50" count="181">
        <n v="0"/>
        <n v="14.4"/>
        <n v="0.72"/>
        <n v="17.399999999999999"/>
        <n v="10"/>
        <n v="11.22"/>
        <n v="21.5"/>
        <n v="3"/>
        <n v="6"/>
        <n v="1"/>
        <m/>
        <n v="12.1" u="1"/>
        <n v="21.3" u="1"/>
        <n v="12.5" u="1"/>
        <n v="4.3" u="1"/>
        <n v="11.8" u="1"/>
        <n v="12.2" u="1"/>
        <n v="20.7" u="1"/>
        <n v="4.5" u="1"/>
        <n v="31.6" u="1"/>
        <n v="13" u="1"/>
        <n v="12.3" u="1"/>
        <n v="12.7" u="1"/>
        <n v="21.7" u="1"/>
        <n v="0.6" u="1"/>
        <n v="1.6" u="1"/>
        <n v="13.1" u="1"/>
        <n v="22.5" u="1"/>
        <n v="23.3" u="1"/>
        <n v="1.7" u="1"/>
        <n v="4.4000000000000004" u="1"/>
        <n v="4.5999999999999996" u="1"/>
        <n v="13.5" u="1"/>
        <n v="1.8" u="1"/>
        <n v="4.8" u="1"/>
        <n v="13.2" u="1"/>
        <n v="5" u="1"/>
        <n v="23.5" u="1"/>
        <n v="24.3" u="1"/>
        <n v="14" u="1"/>
        <n v="13.3" u="1"/>
        <n v="14.1" u="1"/>
        <n v="24.5" u="1"/>
        <n v="4.9000000000000004" u="1"/>
        <n v="14.5" u="1"/>
        <n v="23.1" u="1"/>
        <n v="5.5" u="1"/>
        <n v="26.3" u="1"/>
        <n v="15" u="1"/>
        <n v="15.4" u="1"/>
        <n v="0.7" u="1"/>
        <n v="14.7" u="1"/>
        <n v="25.7" u="1"/>
        <n v="3.18" u="1"/>
        <n v="26.5" u="1"/>
        <n v="5.4" u="1"/>
        <n v="5.6" u="1"/>
        <n v="15.5" u="1"/>
        <n v="25.1" u="1"/>
        <n v="2" u="1"/>
        <n v="5.8" u="1"/>
        <n v="32.299999999999997" u="1"/>
        <n v="15.6" u="1"/>
        <n v="16" u="1"/>
        <n v="34.299999999999997" u="1"/>
        <n v="16.2" u="1"/>
        <n v="28.5" u="1"/>
        <n v="6.1" u="1"/>
        <n v="6.3" u="1"/>
        <n v="15.8" u="1"/>
        <n v="16.399999999999999" u="1"/>
        <n v="50" u="1"/>
        <n v="6.5" u="1"/>
        <n v="6.7" u="1"/>
        <n v="29.5" u="1"/>
        <n v="30.3" u="1"/>
        <n v="18" u="1"/>
        <n v="0.3" u="1"/>
        <n v="0.8" u="1"/>
        <n v="16.600000000000001" u="1"/>
        <n v="29.7" u="1"/>
        <n v="2.2999999999999998" u="1"/>
        <n v="39.9" u="1"/>
        <n v="0.9" u="1"/>
        <n v="6.4" u="1"/>
        <n v="6.6" u="1"/>
        <n v="2.5" u="1"/>
        <n v="2.6" u="1"/>
        <n v="17.600000000000001" u="1"/>
        <n v="18.399999999999999" u="1"/>
        <n v="7" u="1"/>
        <n v="7.2" u="1"/>
        <n v="31.5" u="1"/>
        <n v="20" u="1"/>
        <n v="30.1" u="1"/>
        <n v="30.9" u="1"/>
        <n v="43.5" u="1"/>
        <n v="13.28" u="1"/>
        <n v="6.9" u="1"/>
        <n v="7.1" u="1"/>
        <n v="21.8" u="1"/>
        <n v="7.3" u="1"/>
        <n v="44.3" u="1"/>
        <n v="7.5" u="1"/>
        <n v="35" u="1"/>
        <n v="22" u="1"/>
        <n v="22.8" u="1"/>
        <n v="21.4" u="1"/>
        <n v="2.9" u="1"/>
        <n v="23" u="1"/>
        <n v="23.8" u="1"/>
        <n v="34.200000000000003" u="1"/>
        <n v="3.1" u="1"/>
        <n v="7.8" u="1"/>
        <n v="21.6" u="1"/>
        <n v="8" u="1"/>
        <n v="39" u="1"/>
        <n v="24" u="1"/>
        <n v="24.8" u="1"/>
        <n v="8.5" u="1"/>
        <n v="8.9" u="1"/>
        <n v="24.2" u="1"/>
        <n v="25" u="1"/>
        <n v="8.6" u="1"/>
        <n v="23.6" u="1"/>
        <n v="9" u="1"/>
        <n v="0.4" u="1"/>
        <n v="26" u="1"/>
        <n v="1.1000000000000001" u="1"/>
        <n v="9.1" u="1"/>
        <n v="24.6" u="1"/>
        <n v="32.5" u="1"/>
        <n v="3.2" u="1"/>
        <n v="3.3" u="1"/>
        <n v="9.5" u="1"/>
        <n v="9.9" u="1"/>
        <n v="26.2" u="1"/>
        <n v="45" u="1"/>
        <n v="1.3" u="1"/>
        <n v="3.4" u="1"/>
        <n v="8.8000000000000007" u="1"/>
        <n v="9.1999999999999993" u="1"/>
        <n v="3.5" u="1"/>
        <n v="9.6" u="1"/>
        <n v="16.3" u="1"/>
        <n v="25.6" u="1"/>
        <n v="33.299999999999997" u="1"/>
        <n v="9.3000000000000007" u="1"/>
        <n v="9.6999999999999993" u="1"/>
        <n v="28" u="1"/>
        <n v="16.5" u="1"/>
        <n v="10.5" u="1"/>
        <n v="10.9" u="1"/>
        <n v="12.16" u="1"/>
        <n v="29" u="1"/>
        <n v="3.75" u="1"/>
        <n v="17.5" u="1"/>
        <n v="11" u="1"/>
        <n v="16.100000000000001" u="1"/>
        <n v="16.899999999999999" u="1"/>
        <n v="10.3" u="1"/>
        <n v="10.7" u="1"/>
        <n v="30" u="1"/>
        <n v="1.4" u="1"/>
        <n v="11.1" u="1"/>
        <n v="0.5" u="1"/>
        <n v="3.8" u="1"/>
        <n v="11.5" u="1"/>
        <n v="11.9" u="1"/>
        <n v="17.100000000000001" u="1"/>
        <n v="17.899999999999999" u="1"/>
        <n v="1.5" u="1"/>
        <n v="4" u="1"/>
        <n v="4.2" u="1"/>
        <n v="20.3" u="1"/>
        <n v="29.6" u="1"/>
        <n v="42.5" u="1"/>
        <n v="12" u="1"/>
        <n v="12.4" u="1"/>
        <n v="18.100000000000001" u="1"/>
        <n v="11.7" u="1"/>
      </sharedItems>
    </cacheField>
    <cacheField name="Viernes" numFmtId="0">
      <sharedItems containsString="0" containsBlank="1" containsNumber="1" minValue="0" maxValue="45" count="186">
        <n v="0"/>
        <n v="12"/>
        <n v="13.23"/>
        <n v="0.96"/>
        <n v="18"/>
        <n v="22.42"/>
        <n v="1.86"/>
        <n v="2.5499999999999998"/>
        <n v="7.56"/>
        <m/>
        <n v="12.1" u="1"/>
        <n v="20.5" u="1"/>
        <n v="21.3" u="1"/>
        <n v="4.0999999999999996" u="1"/>
        <n v="12.5" u="1"/>
        <n v="12.9" u="1"/>
        <n v="4.3" u="1"/>
        <n v="20.7" u="1"/>
        <n v="4.5" u="1"/>
        <n v="21.5" u="1"/>
        <n v="31.6" u="1"/>
        <n v="0.2" u="1"/>
        <n v="13" u="1"/>
        <n v="12.3" u="1"/>
        <n v="12.7" u="1"/>
        <n v="21.7" u="1"/>
        <n v="0.6" u="1"/>
        <n v="1.6" u="1"/>
        <n v="13.1" u="1"/>
        <n v="22.5" u="1"/>
        <n v="23.3" u="1"/>
        <n v="1.7" u="1"/>
        <n v="4.4000000000000004" u="1"/>
        <n v="4.5999999999999996" u="1"/>
        <n v="13.5" u="1"/>
        <n v="1.8" u="1"/>
        <n v="4.8" u="1"/>
        <n v="13.2" u="1"/>
        <n v="39.6" u="1"/>
        <n v="5" u="1"/>
        <n v="12.624000000000001" u="1"/>
        <n v="23.5" u="1"/>
        <n v="24.3" u="1"/>
        <n v="14" u="1"/>
        <n v="14.4" u="1"/>
        <n v="38.4" u="1"/>
        <n v="13.3" u="1"/>
        <n v="14.1" u="1"/>
        <n v="24.5" u="1"/>
        <n v="25.3" u="1"/>
        <n v="4.9000000000000004" u="1"/>
        <n v="5.0999999999999996" u="1"/>
        <n v="23.1" u="1"/>
        <n v="5.5" u="1"/>
        <n v="25.5" u="1"/>
        <n v="26.3" u="1"/>
        <n v="5.15" u="1"/>
        <n v="15" u="1"/>
        <n v="15.4" u="1"/>
        <n v="0.7" u="1"/>
        <n v="14.7" u="1"/>
        <n v="25.7" u="1"/>
        <n v="5.4" u="1"/>
        <n v="5.6" u="1"/>
        <n v="15.5" u="1"/>
        <n v="25.1" u="1"/>
        <n v="2" u="1"/>
        <n v="0.12" u="1"/>
        <n v="0.86" u="1"/>
        <n v="6" u="1"/>
        <n v="15.6" u="1"/>
        <n v="16" u="1"/>
        <n v="34.299999999999997" u="1"/>
        <n v="16.2" u="1"/>
        <n v="6.1" u="1"/>
        <n v="17" u="1"/>
        <n v="17.8" u="1"/>
        <n v="27.9" u="1"/>
        <n v="2.25" u="1"/>
        <n v="6.3" u="1"/>
        <n v="15.8" u="1"/>
        <n v="16.399999999999999" u="1"/>
        <n v="0.1" u="1"/>
        <n v="6.5" u="1"/>
        <n v="18.8" u="1"/>
        <n v="0.3" u="1"/>
        <n v="0.8" u="1"/>
        <n v="17.399999999999999" u="1"/>
        <n v="2.2999999999999998" u="1"/>
        <n v="18.2" u="1"/>
        <n v="31.3" u="1"/>
        <n v="39.9" u="1"/>
        <n v="0.9" u="1"/>
        <n v="6.4" u="1"/>
        <n v="6.6" u="1"/>
        <n v="2.5" u="1"/>
        <n v="6.8" u="1"/>
        <n v="18.399999999999999" u="1"/>
        <n v="7" u="1"/>
        <n v="30.1" u="1"/>
        <n v="30.9" u="1"/>
        <n v="7.1" u="1"/>
        <n v="21.8" u="1"/>
        <n v="7.3" u="1"/>
        <n v="44.3" u="1"/>
        <n v="7.5" u="1"/>
        <n v="21.2" u="1"/>
        <n v="35" u="1"/>
        <n v="22" u="1"/>
        <n v="22.8" u="1"/>
        <n v="2.7" u="1"/>
        <n v="2.8" u="1"/>
        <n v="1" u="1"/>
        <n v="2.9" u="1"/>
        <n v="7.4" u="1"/>
        <n v="23" u="1"/>
        <n v="23.8" u="1"/>
        <n v="34.200000000000003" u="1"/>
        <n v="35.729999999999997" u="1"/>
        <n v="3" u="1"/>
        <n v="3.1" u="1"/>
        <n v="7.8" u="1"/>
        <n v="21.6" u="1"/>
        <n v="22.4" u="1"/>
        <n v="8" u="1"/>
        <n v="39" u="1"/>
        <n v="0.48" u="1"/>
        <n v="24" u="1"/>
        <n v="22.6" u="1"/>
        <n v="39.4" u="1"/>
        <n v="8.9" u="1"/>
        <n v="25" u="1"/>
        <n v="8.6" u="1"/>
        <n v="23.6" u="1"/>
        <n v="9" u="1"/>
        <n v="0.4" u="1"/>
        <n v="26" u="1"/>
        <n v="3.2" u="1"/>
        <n v="3.3" u="1"/>
        <n v="9.5" u="1"/>
        <n v="9.9" u="1"/>
        <n v="26.2" u="1"/>
        <n v="45" u="1"/>
        <n v="1.3" u="1"/>
        <n v="3.4" u="1"/>
        <n v="9.1999999999999993" u="1"/>
        <n v="32.9" u="1"/>
        <n v="3.5" u="1"/>
        <n v="9.6" u="1"/>
        <n v="16.3" u="1"/>
        <n v="25.6" u="1"/>
        <n v="26.4" u="1"/>
        <n v="10" u="1"/>
        <n v="33.299999999999997" u="1"/>
        <n v="9.6999999999999993" u="1"/>
        <n v="16.5" u="1"/>
        <n v="10.9" u="1"/>
        <n v="29" u="1"/>
        <n v="17.5" u="1"/>
        <n v="38.5" u="1"/>
        <n v="11" u="1"/>
        <n v="16.100000000000001" u="1"/>
        <n v="10.3" u="1"/>
        <n v="10.7" u="1"/>
        <n v="30" u="1"/>
        <n v="38.9" u="1"/>
        <n v="1.4" u="1"/>
        <n v="11.1" u="1"/>
        <n v="18.5" u="1"/>
        <n v="0.5" u="1"/>
        <n v="11.9" u="1"/>
        <n v="17.100000000000001" u="1"/>
        <n v="17.899999999999999" u="1"/>
        <n v="1.5" u="1"/>
        <n v="3.9" u="1"/>
        <n v="11.2" u="1"/>
        <n v="31" u="1"/>
        <n v="4" u="1"/>
        <n v="20.3" u="1"/>
        <n v="29.6" u="1"/>
        <n v="42.5" u="1"/>
        <n v="12.4" u="1"/>
        <n v="11.7" u="1"/>
        <n v="19.7" u="1"/>
        <n v="28.08" u="1"/>
        <n v="32" u="1"/>
      </sharedItems>
    </cacheField>
    <cacheField name="Sabado" numFmtId="0">
      <sharedItems containsString="0" containsBlank="1" containsNumber="1" minValue="0" maxValue="66" count="197">
        <n v="0"/>
        <n v="14.4"/>
        <n v="25.35"/>
        <n v="0.93"/>
        <n v="12"/>
        <n v="4.5"/>
        <n v="1.08"/>
        <n v="20.8"/>
        <n v="2.58"/>
        <n v="2.5"/>
        <m/>
        <n v="12.1" u="1"/>
        <n v="20.5" u="1"/>
        <n v="21.3" u="1"/>
        <n v="4.0999999999999996" u="1"/>
        <n v="12.5" u="1"/>
        <n v="12.9" u="1"/>
        <n v="32.4" u="1"/>
        <n v="4.3" u="1"/>
        <n v="11.8" u="1"/>
        <n v="12.2" u="1"/>
        <n v="20.7" u="1"/>
        <n v="12.6" u="1"/>
        <n v="21.5" u="1"/>
        <n v="0.2" u="1"/>
        <n v="13" u="1"/>
        <n v="12.3" u="1"/>
        <n v="12.7" u="1"/>
        <n v="0.6" u="1"/>
        <n v="1.6" u="1"/>
        <n v="13.1" u="1"/>
        <n v="22.5" u="1"/>
        <n v="23.3" u="1"/>
        <n v="1.7" u="1"/>
        <n v="4.4000000000000004" u="1"/>
        <n v="4.5999999999999996" u="1"/>
        <n v="13.5" u="1"/>
        <n v="1.8" u="1"/>
        <n v="4.8" u="1"/>
        <n v="13.2" u="1"/>
        <n v="39.6" u="1"/>
        <n v="5" u="1"/>
        <n v="23.5" u="1"/>
        <n v="24.3" u="1"/>
        <n v="14" u="1"/>
        <n v="38.4" u="1"/>
        <n v="13.3" u="1"/>
        <n v="14.1" u="1"/>
        <n v="24.5" u="1"/>
        <n v="25.3" u="1"/>
        <n v="4.9000000000000004" u="1"/>
        <n v="5.0999999999999996" u="1"/>
        <n v="14.5" u="1"/>
        <n v="23.1" u="1"/>
        <n v="66" u="1"/>
        <n v="6.48" u="1"/>
        <n v="26.3" u="1"/>
        <n v="15" u="1"/>
        <n v="15.4" u="1"/>
        <n v="0.7" u="1"/>
        <n v="14.7" u="1"/>
        <n v="25.7" u="1"/>
        <n v="26.5" u="1"/>
        <n v="5.4" u="1"/>
        <n v="5.6" u="1"/>
        <n v="15.5" u="1"/>
        <n v="25.1" u="1"/>
        <n v="2" u="1"/>
        <n v="2.1" u="1"/>
        <n v="32.299999999999997" u="1"/>
        <n v="6" u="1"/>
        <n v="15.6" u="1"/>
        <n v="32.909999999999997" u="1"/>
        <n v="16" u="1"/>
        <n v="0.96" u="1"/>
        <n v="34.299999999999997" u="1"/>
        <n v="16.2" u="1"/>
        <n v="6.1" u="1"/>
        <n v="17" u="1"/>
        <n v="6.3" u="1"/>
        <n v="15.8" u="1"/>
        <n v="16.399999999999999" u="1"/>
        <n v="0.1" u="1"/>
        <n v="6.5" u="1"/>
        <n v="6.7" u="1"/>
        <n v="29.5" u="1"/>
        <n v="18" u="1"/>
        <n v="28.9" u="1"/>
        <n v="0.8" u="1"/>
        <n v="17.399999999999999" u="1"/>
        <n v="29.7" u="1"/>
        <n v="2.2999999999999998" u="1"/>
        <n v="18.2" u="1"/>
        <n v="31.3" u="1"/>
        <n v="39.9" u="1"/>
        <n v="0.9" u="1"/>
        <n v="2.4" u="1"/>
        <n v="6.4" u="1"/>
        <n v="6.6" u="1"/>
        <n v="6.8" u="1"/>
        <n v="18.399999999999999" u="1"/>
        <n v="7" u="1"/>
        <n v="31.5" u="1"/>
        <n v="20" u="1"/>
        <n v="30.1" u="1"/>
        <n v="30.9" u="1"/>
        <n v="33" u="1"/>
        <n v="6.9" u="1"/>
        <n v="7.1" u="1"/>
        <n v="21.8" u="1"/>
        <n v="7.3" u="1"/>
        <n v="16.21" u="1"/>
        <n v="20.399999999999999" u="1"/>
        <n v="44.3" u="1"/>
        <n v="7.5" u="1"/>
        <n v="7.7" u="1"/>
        <n v="35" u="1"/>
        <n v="22" u="1"/>
        <n v="22.8" u="1"/>
        <n v="2.7" u="1"/>
        <n v="2.8" u="1"/>
        <n v="1" u="1"/>
        <n v="2.9" u="1"/>
        <n v="7.4" u="1"/>
        <n v="7.6" u="1"/>
        <n v="23" u="1"/>
        <n v="23.8" u="1"/>
        <n v="34.200000000000003" u="1"/>
        <n v="3" u="1"/>
        <n v="3.1" u="1"/>
        <n v="7.8" u="1"/>
        <n v="21.6" u="1"/>
        <n v="22.4" u="1"/>
        <n v="8" u="1"/>
        <n v="24" u="1"/>
        <n v="8.1" u="1"/>
        <n v="22.6" u="1"/>
        <n v="8.5" u="1"/>
        <n v="8.9" u="1"/>
        <n v="24.2" u="1"/>
        <n v="8.1999999999999993" u="1"/>
        <n v="25" u="1"/>
        <n v="8.6" u="1"/>
        <n v="23.6" u="1"/>
        <n v="9" u="1"/>
        <n v="0.4" u="1"/>
        <n v="26" u="1"/>
        <n v="1.1000000000000001" u="1"/>
        <n v="9.1" u="1"/>
        <n v="24.6" u="1"/>
        <n v="1.2" u="1"/>
        <n v="3.3" u="1"/>
        <n v="9.9" u="1"/>
        <n v="26.2" u="1"/>
        <n v="1.3" u="1"/>
        <n v="3.4" u="1"/>
        <n v="8.8000000000000007" u="1"/>
        <n v="9.1999999999999993" u="1"/>
        <n v="27" u="1"/>
        <n v="3.5" u="1"/>
        <n v="9.6" u="1"/>
        <n v="16.3" u="1"/>
        <n v="10" u="1"/>
        <n v="33.299999999999997" u="1"/>
        <n v="9.3000000000000007" u="1"/>
        <n v="9.6999999999999993" u="1"/>
        <n v="28" u="1"/>
        <n v="16.5" u="1"/>
        <n v="4.68" u="1"/>
        <n v="10.5" u="1"/>
        <n v="10.9" u="1"/>
        <n v="9.8000000000000007" u="1"/>
        <n v="29" u="1"/>
        <n v="17.5" u="1"/>
        <n v="11" u="1"/>
        <n v="10.3" u="1"/>
        <n v="10.7" u="1"/>
        <n v="30" u="1"/>
        <n v="38.9" u="1"/>
        <n v="1.4" u="1"/>
        <n v="11.1" u="1"/>
        <n v="0.5" u="1"/>
        <n v="9.5399999999999991" u="1"/>
        <n v="11.9" u="1"/>
        <n v="12.93" u="1"/>
        <n v="17.100000000000001" u="1"/>
        <n v="17.899999999999999" u="1"/>
        <n v="39.299999999999997" u="1"/>
        <n v="1.5" u="1"/>
        <n v="11.2" u="1"/>
        <n v="31" u="1"/>
        <n v="4" u="1"/>
        <n v="20.3" u="1"/>
        <n v="29.6" u="1"/>
        <n v="42.5" u="1"/>
        <n v="11.7" u="1"/>
        <n v="19.7" u="1"/>
      </sharedItems>
    </cacheField>
    <cacheField name="domingo" numFmtId="0">
      <sharedItems containsString="0" containsBlank="1" containsNumber="1" minValue="0" maxValue="73.5" count="189">
        <n v="0"/>
        <n v="12"/>
        <n v="65"/>
        <n v="3.96"/>
        <n v="21.75"/>
        <n v="10"/>
        <n v="0.72"/>
        <n v="2.41"/>
        <n v="5.04"/>
        <n v="0.6"/>
        <m/>
        <n v="12.1" u="1"/>
        <n v="20.5" u="1"/>
        <n v="21.3" u="1"/>
        <n v="12.5" u="1"/>
        <n v="12.9" u="1"/>
        <n v="11.8" u="1"/>
        <n v="12.2" u="1"/>
        <n v="20.7" u="1"/>
        <n v="34" u="1"/>
        <n v="4.5" u="1"/>
        <n v="12.6" u="1"/>
        <n v="21.5" u="1"/>
        <n v="31.6" u="1"/>
        <n v="0.2" u="1"/>
        <n v="13" u="1"/>
        <n v="12.3" u="1"/>
        <n v="21.63" u="1"/>
        <n v="1.6" u="1"/>
        <n v="13.1" u="1"/>
        <n v="22.5" u="1"/>
        <n v="23.3" u="1"/>
        <n v="1.7" u="1"/>
        <n v="4.4000000000000004" u="1"/>
        <n v="4.5999999999999996" u="1"/>
        <n v="13.5" u="1"/>
        <n v="1.8" u="1"/>
        <n v="4.8" u="1"/>
        <n v="13.2" u="1"/>
        <n v="5" u="1"/>
        <n v="5.2" u="1"/>
        <n v="23.5" u="1"/>
        <n v="24.3" u="1"/>
        <n v="14" u="1"/>
        <n v="14.4" u="1"/>
        <n v="22.9" u="1"/>
        <n v="38.4" u="1"/>
        <n v="13.3" u="1"/>
        <n v="40" u="1"/>
        <n v="14.1" u="1"/>
        <n v="24.5" u="1"/>
        <n v="25.3" u="1"/>
        <n v="4.9000000000000004" u="1"/>
        <n v="5.0999999999999996" u="1"/>
        <n v="14.5" u="1"/>
        <n v="23.1" u="1"/>
        <n v="25.5" u="1"/>
        <n v="26.3" u="1"/>
        <n v="15" u="1"/>
        <n v="15.4" u="1"/>
        <n v="0.7" u="1"/>
        <n v="14.3" u="1"/>
        <n v="14.7" u="1"/>
        <n v="25.7" u="1"/>
        <n v="5.4" u="1"/>
        <n v="5.6" u="1"/>
        <n v="15.5" u="1"/>
        <n v="25.1" u="1"/>
        <n v="2" u="1"/>
        <n v="6" u="1"/>
        <n v="6.2" u="1"/>
        <n v="15.6" u="1"/>
        <n v="16" u="1"/>
        <n v="16.2" u="1"/>
        <n v="6.1" u="1"/>
        <n v="27.9" u="1"/>
        <n v="2.25" u="1"/>
        <n v="6.3" u="1"/>
        <n v="16.399999999999999" u="1"/>
        <n v="0.1" u="1"/>
        <n v="6.5" u="1"/>
        <n v="0.3" u="1"/>
        <n v="0.8" u="1"/>
        <n v="17.399999999999999" u="1"/>
        <n v="29.7" u="1"/>
        <n v="2.2999999999999998" u="1"/>
        <n v="18.2" u="1"/>
        <n v="39.9" u="1"/>
        <n v="0.9" u="1"/>
        <n v="2.4" u="1"/>
        <n v="6.4" u="1"/>
        <n v="6.6" u="1"/>
        <n v="2.5" u="1"/>
        <n v="6.8" u="1"/>
        <n v="17.600000000000001" u="1"/>
        <n v="18.399999999999999" u="1"/>
        <n v="7" u="1"/>
        <n v="31.5" u="1"/>
        <n v="20" u="1"/>
        <n v="20.8" u="1"/>
        <n v="30.1" u="1"/>
        <n v="30.9" u="1"/>
        <n v="12.88" u="1"/>
        <n v="6.9" u="1"/>
        <n v="7.1" u="1"/>
        <n v="21.8" u="1"/>
        <n v="20.399999999999999" u="1"/>
        <n v="44.3" u="1"/>
        <n v="7.5" u="1"/>
        <n v="35" u="1"/>
        <n v="22" u="1"/>
        <n v="22.8" u="1"/>
        <n v="2.7" u="1"/>
        <n v="1" u="1"/>
        <n v="2.9" u="1"/>
        <n v="7.4" u="1"/>
        <n v="23" u="1"/>
        <n v="34.200000000000003" u="1"/>
        <n v="3" u="1"/>
        <n v="3.1" u="1"/>
        <n v="7.8" u="1"/>
        <n v="21.6" u="1"/>
        <n v="8" u="1"/>
        <n v="0.48" u="1"/>
        <n v="24" u="1"/>
        <n v="24.8" u="1"/>
        <n v="8.1" u="1"/>
        <n v="22.6" u="1"/>
        <n v="8.5" u="1"/>
        <n v="8.9" u="1"/>
        <n v="24.2" u="1"/>
        <n v="25" u="1"/>
        <n v="8.6" u="1"/>
        <n v="23.6" u="1"/>
        <n v="9" u="1"/>
        <n v="20.55" u="1"/>
        <n v="0.4" u="1"/>
        <n v="26" u="1"/>
        <n v="28.06" u="1"/>
        <n v="1.1000000000000001" u="1"/>
        <n v="9.1" u="1"/>
        <n v="24.6" u="1"/>
        <n v="3.2" u="1"/>
        <n v="3.3" u="1"/>
        <n v="9.9" u="1"/>
        <n v="26.2" u="1"/>
        <n v="45" u="1"/>
        <n v="1.3" u="1"/>
        <n v="8.8000000000000007" u="1"/>
        <n v="9.1999999999999993" u="1"/>
        <n v="32.9" u="1"/>
        <n v="3.5" u="1"/>
        <n v="9.6" u="1"/>
        <n v="16.3" u="1"/>
        <n v="26.4" u="1"/>
        <n v="33.299999999999997" u="1"/>
        <n v="9.3000000000000007" u="1"/>
        <n v="9.6999999999999993" u="1"/>
        <n v="16.5" u="1"/>
        <n v="10.5" u="1"/>
        <n v="10.9" u="1"/>
        <n v="29" u="1"/>
        <n v="1.08" u="1"/>
        <n v="17.5" u="1"/>
        <n v="11" u="1"/>
        <n v="73.5" u="1"/>
        <n v="10.3" u="1"/>
        <n v="17.7" u="1"/>
        <n v="30" u="1"/>
        <n v="38.9" u="1"/>
        <n v="1.4" u="1"/>
        <n v="11.1" u="1"/>
        <n v="0.5" u="1"/>
        <n v="3.8" u="1"/>
        <n v="9.5399999999999991" u="1"/>
        <n v="11.9" u="1"/>
        <n v="17.100000000000001" u="1"/>
        <n v="17.899999999999999" u="1"/>
        <n v="1.5" u="1"/>
        <n v="11.2" u="1"/>
        <n v="31" u="1"/>
        <n v="4" u="1"/>
        <n v="11.6" u="1"/>
        <n v="20.3" u="1"/>
        <n v="29.6" u="1"/>
        <n v="42.5" u="1"/>
        <n v="18.100000000000001" u="1"/>
        <n v="19.7" u="1"/>
        <n v="32" u="1"/>
      </sharedItems>
    </cacheField>
    <cacheField name="Lunes" numFmtId="0">
      <sharedItems containsString="0" containsBlank="1" containsNumber="1" minValue="0" maxValue="45" count="189">
        <n v="0"/>
        <n v="14.4"/>
        <n v="31.55"/>
        <n v="12.12"/>
        <n v="5.19"/>
        <n v="3.84"/>
        <m/>
        <n v="12.1" u="1"/>
        <n v="21.3" u="1"/>
        <n v="12.9" u="1"/>
        <n v="4.3" u="1"/>
        <n v="11.8" u="1"/>
        <n v="12.2" u="1"/>
        <n v="20.7" u="1"/>
        <n v="21.96" u="1"/>
        <n v="4.5" u="1"/>
        <n v="12.6" u="1"/>
        <n v="21.5" u="1"/>
        <n v="0.2" u="1"/>
        <n v="13" u="1"/>
        <n v="12.7" u="1"/>
        <n v="21.7" u="1"/>
        <n v="36" u="1"/>
        <n v="0.6" u="1"/>
        <n v="1.6" u="1"/>
        <n v="22.5" u="1"/>
        <n v="1.7" u="1"/>
        <n v="4.4000000000000004" u="1"/>
        <n v="4.5999999999999996" u="1"/>
        <n v="13.5" u="1"/>
        <n v="1.8" u="1"/>
        <n v="4.8" u="1"/>
        <n v="13.2" u="1"/>
        <n v="22.7" u="1"/>
        <n v="39.6" u="1"/>
        <n v="5" u="1"/>
        <n v="5.2" u="1"/>
        <n v="23.5" u="1"/>
        <n v="14" u="1"/>
        <n v="22.9" u="1"/>
        <n v="38.4" u="1"/>
        <n v="40" u="1"/>
        <n v="14.1" u="1"/>
        <n v="24.5" u="1"/>
        <n v="4.9000000000000004" u="1"/>
        <n v="5.0999999999999996" u="1"/>
        <n v="14.5" u="1"/>
        <n v="23.1" u="1"/>
        <n v="5.5" u="1"/>
        <n v="25.5" u="1"/>
        <n v="26.3" u="1"/>
        <n v="15" u="1"/>
        <n v="15.4" u="1"/>
        <n v="0.7" u="1"/>
        <n v="25.7" u="1"/>
        <n v="5.4" u="1"/>
        <n v="5.6" u="1"/>
        <n v="15.5" u="1"/>
        <n v="25.1" u="1"/>
        <n v="2" u="1"/>
        <n v="32.299999999999997" u="1"/>
        <n v="6" u="1"/>
        <n v="15.6" u="1"/>
        <n v="16" u="1"/>
        <n v="26.1" u="1"/>
        <n v="34.299999999999997" u="1"/>
        <n v="16.2" u="1"/>
        <n v="6.1" u="1"/>
        <n v="17" u="1"/>
        <n v="6.3" u="1"/>
        <n v="15.8" u="1"/>
        <n v="16.399999999999999" u="1"/>
        <n v="0.1" u="1"/>
        <n v="6.5" u="1"/>
        <n v="6.7" u="1"/>
        <n v="30.3" u="1"/>
        <n v="18" u="1"/>
        <n v="0.3" u="1"/>
        <n v="0.8" u="1"/>
        <n v="17.399999999999999" u="1"/>
        <n v="29.7" u="1"/>
        <n v="2.2999999999999998" u="1"/>
        <n v="30.5" u="1"/>
        <n v="39.9" u="1"/>
        <n v="0.9" u="1"/>
        <n v="2.4" u="1"/>
        <n v="2.99" u="1"/>
        <n v="6.4" u="1"/>
        <n v="6.6" u="1"/>
        <n v="2.5" u="1"/>
        <n v="2.6" u="1"/>
        <n v="6.8" u="1"/>
        <n v="17.600000000000001" u="1"/>
        <n v="18.399999999999999" u="1"/>
        <n v="7" u="1"/>
        <n v="31.5" u="1"/>
        <n v="11.22" u="1"/>
        <n v="20.8" u="1"/>
        <n v="30.1" u="1"/>
        <n v="5.04" u="1"/>
        <n v="33" u="1"/>
        <n v="6.9" u="1"/>
        <n v="7.1" u="1"/>
        <n v="21" u="1"/>
        <n v="21.8" u="1"/>
        <n v="20.399999999999999" u="1"/>
        <n v="44.3" u="1"/>
        <n v="7.5" u="1"/>
        <n v="7.7" u="1"/>
        <n v="35" u="1"/>
        <n v="22" u="1"/>
        <n v="22.8" u="1"/>
        <n v="2.7" u="1"/>
        <n v="1" u="1"/>
        <n v="2.9" u="1"/>
        <n v="7.4" u="1"/>
        <n v="23" u="1"/>
        <n v="23.8" u="1"/>
        <n v="3" u="1"/>
        <n v="3.1" u="1"/>
        <n v="7.8" u="1"/>
        <n v="21.6" u="1"/>
        <n v="8" u="1"/>
        <n v="24" u="1"/>
        <n v="24.8" u="1"/>
        <n v="8.1" u="1"/>
        <n v="22.6" u="1"/>
        <n v="24.2" u="1"/>
        <n v="25" u="1"/>
        <n v="8.6" u="1"/>
        <n v="23.6" u="1"/>
        <n v="9" u="1"/>
        <n v="0.4" u="1"/>
        <n v="8.3000000000000007" u="1"/>
        <n v="26" u="1"/>
        <n v="9.1" u="1"/>
        <n v="24.6" u="1"/>
        <n v="3.2" u="1"/>
        <n v="3.3" u="1"/>
        <n v="9.9" u="1"/>
        <n v="45" u="1"/>
        <n v="1.3" u="1"/>
        <n v="3.4" u="1"/>
        <n v="8.8000000000000007" u="1"/>
        <n v="9.1999999999999993" u="1"/>
        <n v="27" u="1"/>
        <n v="32.9" u="1"/>
        <n v="3.5" u="1"/>
        <n v="3.6" u="1"/>
        <n v="9.6" u="1"/>
        <n v="16.3" u="1"/>
        <n v="25.6" u="1"/>
        <n v="0.88" u="1"/>
        <n v="10" u="1"/>
        <n v="33.299999999999997" u="1"/>
        <n v="9.6999999999999993" u="1"/>
        <n v="28" u="1"/>
        <n v="16.5" u="1"/>
        <n v="21.95" u="1"/>
        <n v="10.5" u="1"/>
        <n v="10.9" u="1"/>
        <n v="17.5" u="1"/>
        <n v="11" u="1"/>
        <n v="10.3" u="1"/>
        <n v="10.7" u="1"/>
        <n v="17.7" u="1"/>
        <n v="30" u="1"/>
        <n v="30.8" u="1"/>
        <n v="38.9" u="1"/>
        <n v="1.4" u="1"/>
        <n v="11.1" u="1"/>
        <n v="18.5" u="1"/>
        <n v="0.5" u="1"/>
        <n v="5.18" u="1"/>
        <n v="11.9" u="1"/>
        <n v="17.100000000000001" u="1"/>
        <n v="1.5" u="1"/>
        <n v="11.2" u="1"/>
        <n v="31" u="1"/>
        <n v="4" u="1"/>
        <n v="4.2" u="1"/>
        <n v="20.3" u="1"/>
        <n v="29.6" u="1"/>
        <n v="42.5" u="1"/>
        <n v="12" u="1"/>
        <n v="12.4" u="1"/>
        <n v="18.100000000000001" u="1"/>
        <n v="19.7" u="1"/>
        <n v="32" u="1"/>
      </sharedItems>
    </cacheField>
    <cacheField name="Total / semana" numFmtId="0">
      <sharedItems containsSemiMixedTypes="0" containsString="0" containsNumber="1" minValue="0" maxValue="574.70999999999992"/>
    </cacheField>
    <cacheField name="Importe Martes" numFmtId="164">
      <sharedItems containsSemiMixedTypes="0" containsString="0" containsNumber="1" minValue="0" maxValue="4828.4150000000009"/>
    </cacheField>
    <cacheField name="Nota Martes" numFmtId="164">
      <sharedItems containsSemiMixedTypes="0" containsString="0" containsNumber="1" minValue="0" maxValue="8726.4200000000019"/>
    </cacheField>
    <cacheField name="Imp Miercoles" numFmtId="164">
      <sharedItems containsSemiMixedTypes="0" containsString="0" containsNumber="1" minValue="0" maxValue="4290.5460000000003"/>
    </cacheField>
    <cacheField name="Nota Miercoles" numFmtId="164">
      <sharedItems containsSemiMixedTypes="0" containsString="0" containsNumber="1" minValue="0" maxValue="7235.33"/>
    </cacheField>
    <cacheField name="Imp. Jueves" numFmtId="164">
      <sharedItems containsSemiMixedTypes="0" containsString="0" containsNumber="1" minValue="0" maxValue="5488.4059999999999"/>
    </cacheField>
    <cacheField name="Nota Jueves" numFmtId="164">
      <sharedItems containsSemiMixedTypes="0" containsString="0" containsNumber="1" minValue="0" maxValue="8334.4000000000015"/>
    </cacheField>
    <cacheField name="Imp. Viernes" numFmtId="164">
      <sharedItems containsSemiMixedTypes="0" containsString="0" containsNumber="1" minValue="0" maxValue="6091.6070000000009"/>
    </cacheField>
    <cacheField name="Nota Viernes" numFmtId="164">
      <sharedItems containsSemiMixedTypes="0" containsString="0" containsNumber="1" minValue="0" maxValue="9451.6"/>
    </cacheField>
    <cacheField name="Imp. Sabado" numFmtId="164">
      <sharedItems containsSemiMixedTypes="0" containsString="0" containsNumber="1" minValue="0" maxValue="5158.7899999999991"/>
    </cacheField>
    <cacheField name="Nota Sabado" numFmtId="164">
      <sharedItems containsSemiMixedTypes="0" containsString="0" containsNumber="1" minValue="0" maxValue="8805"/>
    </cacheField>
    <cacheField name="Imp. Domingo" numFmtId="164">
      <sharedItems containsSemiMixedTypes="0" containsString="0" containsNumber="1" minValue="0" maxValue="6812.1449999999986"/>
    </cacheField>
    <cacheField name="Nota Domingo" numFmtId="164">
      <sharedItems containsSemiMixedTypes="0" containsString="0" containsNumber="1" minValue="0" maxValue="11333.23"/>
    </cacheField>
    <cacheField name="Imp. Lunes" numFmtId="164">
      <sharedItems containsSemiMixedTypes="0" containsString="0" containsNumber="1" minValue="0" maxValue="4326.3629999999994"/>
    </cacheField>
    <cacheField name="Nota Lunes" numFmtId="164">
      <sharedItems containsSemiMixedTypes="0" containsString="0" containsNumber="1" minValue="0" maxValue="8334.1200000000008"/>
    </cacheField>
    <cacheField name="PRECIO COSTO" numFmtId="164">
      <sharedItems containsString="0" containsBlank="1" containsNumber="1" minValue="0" maxValue="140"/>
    </cacheField>
    <cacheField name="PRECIO VENTA" numFmtId="164">
      <sharedItems containsString="0" containsBlank="1" containsNumber="1" minValue="2.5" maxValue="180" count="45">
        <n v="89"/>
        <n v="95"/>
        <n v="82"/>
        <n v="60"/>
        <n v="90"/>
        <n v="98"/>
        <n v="150"/>
        <n v="75"/>
        <n v="50"/>
        <n v="160"/>
        <n v="120"/>
        <n v="140"/>
        <n v="145"/>
        <n v="130"/>
        <n v="38"/>
        <n v="180"/>
        <n v="40"/>
        <m/>
        <n v="96" u="1"/>
        <n v="34" u="1"/>
        <n v="100" u="1"/>
        <n v="125" u="1"/>
        <n v="36" u="1"/>
        <n v="42" u="1"/>
        <n v="70" u="1"/>
        <n v="162" u="1"/>
        <n v="46" u="1"/>
        <n v="78" u="1"/>
        <n v="48" u="1"/>
        <n v="128" u="1"/>
        <n v="65" u="1"/>
        <n v="2.5" u="1"/>
        <n v="58" u="1"/>
        <n v="168" u="1"/>
        <n v="85" u="1"/>
        <n v="110" u="1"/>
        <n v="68" u="1"/>
        <n v="118" u="1"/>
        <n v="158" u="1"/>
        <n v="3.2" u="1"/>
        <n v="45" u="1"/>
        <n v="76" u="1"/>
        <n v="80" u="1"/>
        <n v="30" u="1"/>
        <n v="55" u="1"/>
      </sharedItems>
    </cacheField>
    <cacheField name="Total Compra" numFmtId="164">
      <sharedItems containsSemiMixedTypes="0" containsString="0" containsNumber="1" minValue="0" maxValue="36996.271999999997"/>
    </cacheField>
    <cacheField name="Total Venta" numFmtId="164">
      <sharedItems containsSemiMixedTypes="0" containsString="0" containsNumber="1" minValue="0" maxValue="62220.1"/>
    </cacheField>
    <cacheField name="Utilidad" numFmtId="164">
      <sharedItems containsSemiMixedTypes="0" containsString="0" containsNumber="1" minValue="0" maxValue="25223.828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m" refreshedDate="44576.395667013887" createdVersion="6" refreshedVersion="7" minRefreshableVersion="3" recordCount="26" xr:uid="{00000000-000A-0000-FFFF-FFFF5F000000}">
  <cacheSource type="worksheet">
    <worksheetSource ref="A3:W29" sheet="GUARDERIA"/>
  </cacheSource>
  <cacheFields count="23">
    <cacheField name="No." numFmtId="1">
      <sharedItems containsString="0" containsBlank="1" containsNumber="1" containsInteger="1" minValue="1" maxValue="24" count="2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m/>
      </sharedItems>
    </cacheField>
    <cacheField name="Producto" numFmtId="0">
      <sharedItems containsBlank="1" count="28">
        <s v="CHULETA DE CERDO"/>
        <s v="LOMO DE CERDO"/>
        <s v="PIERNA DE CERDO EN TROZO"/>
        <s v="PIERNA DE CERDO MOLIDA"/>
        <s v="MERO EN FILETE CONGELADO"/>
        <s v="PECHUGA DE POLLO "/>
        <s v="PECHUGA DE POLLO DESHUESADA"/>
        <s v="PECHUGA  DESHUESADA EN BISTEC"/>
        <s v="PECHUGA DE POLLO  MÓLIDA"/>
        <s v="PIERNA Y MUSLO DE POLLO SIN PIEL EN FORMA DE PISTOLA"/>
        <s v="POLLO ENTERO"/>
        <s v="BISTEC DE PIERNA DE RES"/>
        <s v="CHAMBARETE DE RES"/>
        <s v="CUETE DE PIERNA DE RES"/>
        <s v="FALDA DE RES"/>
        <s v="PULPA DE RES EN TROZO"/>
        <s v="PULPA DE RES MOLIDA"/>
        <s v="HUEVO ENTERO"/>
        <s v="JAMÓN DE CERDO FINO CON 16% DE PROTEÍNA"/>
        <s v="JAMÓN DE PAVO"/>
        <s v="JAMÓN DE PECHUGA DE PAVO"/>
        <s v="MORTADELA"/>
        <s v="SALCHICHA DE CERDO VIENA"/>
        <s v="SALCHICHA DE PAVO VIENA"/>
        <s v="TOCINO"/>
        <m/>
        <s v="MERO" u="1"/>
        <s v="PIERNA Y MUSLO DE POLLO" u="1"/>
      </sharedItems>
    </cacheField>
    <cacheField name="Lunes" numFmtId="0">
      <sharedItems containsString="0" containsBlank="1" containsNumber="1" minValue="0" maxValue="14" count="22">
        <n v="0"/>
        <n v="10"/>
        <n v="6"/>
        <n v="4"/>
        <n v="12"/>
        <m/>
        <n v="0.2" u="1"/>
        <n v="13" u="1"/>
        <n v="5" u="1"/>
        <n v="14" u="1"/>
        <n v="0.25" u="1"/>
        <n v="2" u="1"/>
        <n v="6.5" u="1"/>
        <n v="7" u="1"/>
        <n v="1" u="1"/>
        <n v="3" u="1"/>
        <n v="8" u="1"/>
        <n v="9" u="1"/>
        <n v="0.4" u="1"/>
        <n v="11" u="1"/>
        <n v="0.5" u="1"/>
        <n v="1.5" u="1"/>
      </sharedItems>
    </cacheField>
    <cacheField name="Martes" numFmtId="0">
      <sharedItems containsString="0" containsBlank="1" containsNumber="1" minValue="0" maxValue="40" count="35">
        <n v="0"/>
        <n v="6"/>
        <n v="10"/>
        <n v="2.5"/>
        <n v="5"/>
        <m/>
        <n v="12.5" u="1"/>
        <n v="0.2" u="1"/>
        <n v="13" u="1"/>
        <n v="13.5" u="1"/>
        <n v="14" u="1"/>
        <n v="40" u="1"/>
        <n v="5.5" u="1"/>
        <n v="15" u="1"/>
        <n v="0.25" u="1"/>
        <n v="2" u="1"/>
        <n v="0.08" u="1"/>
        <n v="17" u="1"/>
        <n v="0.3" u="1"/>
        <n v="11.25" u="1"/>
        <n v="7" u="1"/>
        <n v="20" u="1"/>
        <n v="35" u="1"/>
        <n v="0.26400000000000001" u="1"/>
        <n v="1" u="1"/>
        <n v="3" u="1"/>
        <n v="8" u="1"/>
        <n v="8.5" u="1"/>
        <n v="9" u="1"/>
        <n v="10.5" u="1"/>
        <n v="11" u="1"/>
        <n v="0.5" u="1"/>
        <n v="11.5" u="1"/>
        <n v="4" u="1"/>
        <n v="12" u="1"/>
      </sharedItems>
    </cacheField>
    <cacheField name="Miercoles" numFmtId="0">
      <sharedItems containsString="0" containsBlank="1" containsNumber="1" minValue="0" maxValue="16" count="26">
        <n v="0"/>
        <n v="2.5"/>
        <n v="1.5"/>
        <n v="4"/>
        <m/>
        <n v="13" u="1"/>
        <n v="5" u="1"/>
        <n v="14" u="1"/>
        <n v="15" u="1"/>
        <n v="0.25" u="1"/>
        <n v="2" u="1"/>
        <n v="6" u="1"/>
        <n v="16" u="1"/>
        <n v="0.3" u="1"/>
        <n v="7" u="1"/>
        <n v="0.16800000000000001" u="1"/>
        <n v="1" u="1"/>
        <n v="8" u="1"/>
        <n v="0.498" u="1"/>
        <n v="9" u="1"/>
        <n v="10" u="1"/>
        <n v="11" u="1"/>
        <n v="0.5" u="1"/>
        <n v="11.2" u="1"/>
        <n v="0.126" u="1"/>
        <n v="12" u="1"/>
      </sharedItems>
    </cacheField>
    <cacheField name="Jueves " numFmtId="0">
      <sharedItems containsString="0" containsBlank="1" containsNumber="1" minValue="0" maxValue="16" count="27">
        <n v="0"/>
        <n v="5"/>
        <n v="4"/>
        <m/>
        <n v="4.5" u="1"/>
        <n v="0.2" u="1"/>
        <n v="13" u="1"/>
        <n v="14" u="1"/>
        <n v="5.25" u="1"/>
        <n v="15" u="1"/>
        <n v="0.25" u="1"/>
        <n v="2" u="1"/>
        <n v="6" u="1"/>
        <n v="16" u="1"/>
        <n v="0.1" u="1"/>
        <n v="0.3" u="1"/>
        <n v="7" u="1"/>
        <n v="1" u="1"/>
        <n v="3" u="1"/>
        <n v="8" u="1"/>
        <n v="9" u="1"/>
        <n v="10" u="1"/>
        <n v="9.3000000000000007" u="1"/>
        <n v="10.5" u="1"/>
        <n v="11" u="1"/>
        <n v="0.5" u="1"/>
        <n v="12" u="1"/>
      </sharedItems>
    </cacheField>
    <cacheField name="Viernes" numFmtId="0">
      <sharedItems containsString="0" containsBlank="1" containsNumber="1" minValue="0" maxValue="50" count="34">
        <n v="0"/>
        <n v="1.5"/>
        <n v="5"/>
        <m/>
        <n v="0.16" u="1"/>
        <n v="0.2" u="1"/>
        <n v="13" u="1"/>
        <n v="14" u="1"/>
        <n v="40" u="1"/>
        <n v="11.583" u="1"/>
        <n v="15" u="1"/>
        <n v="0.25" u="1"/>
        <n v="2" u="1"/>
        <n v="6" u="1"/>
        <n v="50" u="1"/>
        <n v="0.3" u="1"/>
        <n v="7" u="1"/>
        <n v="0.28199999999999997" u="1"/>
        <n v="4.9169999999999998" u="1"/>
        <n v="35" u="1"/>
        <n v="22" u="1"/>
        <n v="14.91" u="1"/>
        <n v="1" u="1"/>
        <n v="3" u="1"/>
        <n v="8" u="1"/>
        <n v="24" u="1"/>
        <n v="45" u="1"/>
        <n v="2.6659999999999999" u="1"/>
        <n v="10" u="1"/>
        <n v="11" u="1"/>
        <n v="30" u="1"/>
        <n v="0.5" u="1"/>
        <n v="4" u="1"/>
        <n v="12" u="1"/>
      </sharedItems>
    </cacheField>
    <cacheField name="Total / semana" numFmtId="0">
      <sharedItems containsSemiMixedTypes="0" containsString="0" containsNumber="1" containsInteger="1" minValue="0" maxValue="89"/>
    </cacheField>
    <cacheField name="Imp. Lunes" numFmtId="164">
      <sharedItems containsSemiMixedTypes="0" containsString="0" containsNumber="1" minValue="0" maxValue="1898.4"/>
    </cacheField>
    <cacheField name="Nota Lunes" numFmtId="164">
      <sharedItems containsSemiMixedTypes="0" containsString="0" containsNumber="1" containsInteger="1" minValue="0" maxValue="3346"/>
    </cacheField>
    <cacheField name="Importe Martes" numFmtId="164">
      <sharedItems containsSemiMixedTypes="0" containsString="0" containsNumber="1" minValue="0" maxValue="1359"/>
    </cacheField>
    <cacheField name="Nota Martes" numFmtId="164">
      <sharedItems containsSemiMixedTypes="0" containsString="0" containsNumber="1" containsInteger="1" minValue="0" maxValue="2585"/>
    </cacheField>
    <cacheField name="Imp Miercoles" numFmtId="164">
      <sharedItems containsSemiMixedTypes="0" containsString="0" containsNumber="1" minValue="0" maxValue="403.8"/>
    </cacheField>
    <cacheField name="Nota Miercoles" numFmtId="164">
      <sharedItems containsSemiMixedTypes="0" containsString="0" containsNumber="1" containsInteger="1" minValue="0" maxValue="722"/>
    </cacheField>
    <cacheField name="Imp. Jueves" numFmtId="164">
      <sharedItems containsSemiMixedTypes="0" containsString="0" containsNumber="1" minValue="0" maxValue="1062.5"/>
    </cacheField>
    <cacheField name="Nota Jueves" numFmtId="164">
      <sharedItems containsSemiMixedTypes="0" containsString="0" containsNumber="1" containsInteger="1" minValue="0" maxValue="1580"/>
    </cacheField>
    <cacheField name="Imp. Viernes" numFmtId="164">
      <sharedItems containsSemiMixedTypes="0" containsString="0" containsNumber="1" minValue="0" maxValue="619.20000000000005"/>
    </cacheField>
    <cacheField name="Nota Viernes" numFmtId="164">
      <sharedItems containsSemiMixedTypes="0" containsString="0" containsNumber="1" containsInteger="1" minValue="0" maxValue="1065"/>
    </cacheField>
    <cacheField name="PRECIO COSTO" numFmtId="164">
      <sharedItems containsString="0" containsBlank="1" containsNumber="1" minValue="0" maxValue="140"/>
    </cacheField>
    <cacheField name="PRECIO VENTA" numFmtId="164">
      <sharedItems containsString="0" containsBlank="1" containsNumber="1" minValue="2.5" maxValue="180" count="45">
        <n v="89"/>
        <n v="95"/>
        <n v="82"/>
        <n v="60"/>
        <n v="90"/>
        <n v="98"/>
        <n v="150"/>
        <n v="75"/>
        <n v="50"/>
        <n v="160"/>
        <n v="120"/>
        <n v="140"/>
        <n v="145"/>
        <n v="130"/>
        <n v="38"/>
        <n v="180"/>
        <n v="40"/>
        <m/>
        <n v="96" u="1"/>
        <n v="34" u="1"/>
        <n v="100" u="1"/>
        <n v="125" u="1"/>
        <n v="36" u="1"/>
        <n v="42" u="1"/>
        <n v="70" u="1"/>
        <n v="162" u="1"/>
        <n v="46" u="1"/>
        <n v="78" u="1"/>
        <n v="48" u="1"/>
        <n v="128" u="1"/>
        <n v="65" u="1"/>
        <n v="2.5" u="1"/>
        <n v="58" u="1"/>
        <n v="168" u="1"/>
        <n v="85" u="1"/>
        <n v="110" u="1"/>
        <n v="68" u="1"/>
        <n v="118" u="1"/>
        <n v="158" u="1"/>
        <n v="3.2" u="1"/>
        <n v="45" u="1"/>
        <n v="76" u="1"/>
        <n v="80" u="1"/>
        <n v="30" u="1"/>
        <n v="55" u="1"/>
      </sharedItems>
    </cacheField>
    <cacheField name="Total Compra" numFmtId="164">
      <sharedItems containsSemiMixedTypes="0" containsString="0" containsNumber="1" minValue="0" maxValue="5342.9000000000005"/>
    </cacheField>
    <cacheField name="Total Venta" numFmtId="164">
      <sharedItems containsSemiMixedTypes="0" containsString="0" containsNumber="1" containsInteger="1" minValue="0" maxValue="9298"/>
    </cacheField>
    <cacheField name="Utilidad" numFmtId="164">
      <sharedItems containsSemiMixedTypes="0" containsString="0" containsNumber="1" minValue="0" maxValue="3955.0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89"/>
    <x v="0"/>
    <n v="0"/>
    <n v="0"/>
    <n v="0"/>
  </r>
  <r>
    <x v="1"/>
    <x v="1"/>
    <x v="0"/>
    <x v="0"/>
    <x v="0"/>
    <x v="1"/>
    <x v="1"/>
    <x v="0"/>
    <x v="1"/>
    <n v="24"/>
    <n v="0"/>
    <n v="0"/>
    <n v="0"/>
    <n v="0"/>
    <n v="0"/>
    <n v="0"/>
    <n v="360"/>
    <n v="684"/>
    <n v="390"/>
    <n v="741"/>
    <n v="0"/>
    <n v="0"/>
    <n v="450"/>
    <n v="855"/>
    <n v="50"/>
    <x v="1"/>
    <n v="1200"/>
    <n v="2280"/>
    <n v="1080"/>
  </r>
  <r>
    <x v="2"/>
    <x v="2"/>
    <x v="0"/>
    <x v="0"/>
    <x v="1"/>
    <x v="0"/>
    <x v="0"/>
    <x v="0"/>
    <x v="0"/>
    <n v="9"/>
    <n v="0"/>
    <n v="0"/>
    <n v="0"/>
    <n v="0"/>
    <n v="576"/>
    <n v="738"/>
    <n v="0"/>
    <n v="0"/>
    <n v="0"/>
    <n v="0"/>
    <n v="0"/>
    <n v="0"/>
    <n v="0"/>
    <n v="0"/>
    <n v="64"/>
    <x v="2"/>
    <n v="576"/>
    <n v="738"/>
    <n v="162"/>
  </r>
  <r>
    <x v="3"/>
    <x v="3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50"/>
    <x v="3"/>
    <n v="0"/>
    <n v="0"/>
    <n v="0"/>
  </r>
  <r>
    <x v="4"/>
    <x v="4"/>
    <x v="0"/>
    <x v="0"/>
    <x v="0"/>
    <x v="0"/>
    <x v="0"/>
    <x v="1"/>
    <x v="0"/>
    <n v="19.5"/>
    <n v="0"/>
    <n v="0"/>
    <n v="0"/>
    <n v="0"/>
    <n v="0"/>
    <n v="0"/>
    <n v="0"/>
    <n v="0"/>
    <n v="0"/>
    <n v="0"/>
    <n v="1109.55"/>
    <n v="1755"/>
    <n v="0"/>
    <n v="0"/>
    <n v="56.9"/>
    <x v="4"/>
    <n v="1109.55"/>
    <n v="1755"/>
    <n v="645.45000000000005"/>
  </r>
  <r>
    <x v="5"/>
    <x v="5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x v="5"/>
    <n v="0"/>
    <n v="0"/>
    <n v="0"/>
  </r>
  <r>
    <x v="5"/>
    <x v="6"/>
    <x v="1"/>
    <x v="1"/>
    <x v="2"/>
    <x v="2"/>
    <x v="2"/>
    <x v="2"/>
    <x v="2"/>
    <n v="82.66"/>
    <n v="601.47"/>
    <n v="1222.5"/>
    <n v="1291.5"/>
    <n v="2625"/>
    <n v="81.180000000000007"/>
    <n v="165"/>
    <n v="907.74"/>
    <n v="1845"/>
    <n v="1409.5800000000002"/>
    <n v="2865"/>
    <n v="230.99399999999997"/>
    <n v="469.5"/>
    <n v="1577.8439999999998"/>
    <n v="3207"/>
    <n v="73.8"/>
    <x v="6"/>
    <n v="6100.3079999999991"/>
    <n v="12399"/>
    <n v="6298.6920000000009"/>
  </r>
  <r>
    <x v="6"/>
    <x v="7"/>
    <x v="2"/>
    <x v="2"/>
    <x v="3"/>
    <x v="3"/>
    <x v="0"/>
    <x v="0"/>
    <x v="0"/>
    <n v="14.67"/>
    <n v="99.63000000000001"/>
    <n v="202.5"/>
    <n v="199.26000000000002"/>
    <n v="405"/>
    <n v="684.12599999999998"/>
    <n v="1390.5"/>
    <n v="99.63000000000001"/>
    <n v="202.5"/>
    <n v="0"/>
    <n v="0"/>
    <n v="0"/>
    <n v="0"/>
    <n v="0"/>
    <n v="0"/>
    <n v="73.8"/>
    <x v="6"/>
    <n v="1082.646"/>
    <n v="2200.5"/>
    <n v="1117.854"/>
  </r>
  <r>
    <x v="7"/>
    <x v="8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55"/>
    <x v="7"/>
    <n v="0"/>
    <n v="0"/>
    <n v="0"/>
  </r>
  <r>
    <x v="8"/>
    <x v="9"/>
    <x v="3"/>
    <x v="3"/>
    <x v="0"/>
    <x v="4"/>
    <x v="0"/>
    <x v="3"/>
    <x v="0"/>
    <n v="53.400000000000006"/>
    <n v="445.70999999999992"/>
    <n v="933.75"/>
    <n v="563.84999999999991"/>
    <n v="1181.25"/>
    <n v="0"/>
    <n v="0"/>
    <n v="349.04999999999995"/>
    <n v="731.25"/>
    <n v="0"/>
    <n v="0"/>
    <n v="553.1099999999999"/>
    <n v="1158.75"/>
    <n v="0"/>
    <n v="0"/>
    <n v="35.799999999999997"/>
    <x v="7"/>
    <n v="1911.72"/>
    <n v="4005.0000000000005"/>
    <n v="2093.2800000000007"/>
  </r>
  <r>
    <x v="9"/>
    <x v="1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50"/>
    <x v="8"/>
    <n v="0"/>
    <n v="0"/>
    <n v="0"/>
  </r>
  <r>
    <x v="10"/>
    <x v="11"/>
    <x v="0"/>
    <x v="4"/>
    <x v="4"/>
    <x v="5"/>
    <x v="3"/>
    <x v="0"/>
    <x v="0"/>
    <n v="39.299999999999997"/>
    <n v="0"/>
    <n v="0"/>
    <n v="1344"/>
    <n v="1536"/>
    <n v="840"/>
    <n v="960"/>
    <n v="2058"/>
    <n v="2352"/>
    <n v="1260"/>
    <n v="1440"/>
    <n v="0"/>
    <n v="0"/>
    <n v="0"/>
    <n v="0"/>
    <n v="140"/>
    <x v="9"/>
    <n v="5502"/>
    <n v="6288"/>
    <n v="786"/>
  </r>
  <r>
    <x v="11"/>
    <x v="12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20"/>
    <x v="10"/>
    <n v="0"/>
    <n v="0"/>
    <n v="0"/>
  </r>
  <r>
    <x v="12"/>
    <x v="13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89"/>
    <x v="10"/>
    <n v="0"/>
    <n v="0"/>
    <n v="0"/>
  </r>
  <r>
    <x v="13"/>
    <x v="14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80"/>
    <x v="11"/>
    <n v="0"/>
    <n v="0"/>
    <n v="0"/>
  </r>
  <r>
    <x v="14"/>
    <x v="15"/>
    <x v="4"/>
    <x v="0"/>
    <x v="0"/>
    <x v="0"/>
    <x v="4"/>
    <x v="4"/>
    <x v="0"/>
    <n v="19.8"/>
    <n v="810"/>
    <n v="1305"/>
    <n v="0"/>
    <n v="0"/>
    <n v="0"/>
    <n v="0"/>
    <n v="0"/>
    <n v="0"/>
    <n v="486.00000000000006"/>
    <n v="783"/>
    <n v="486.00000000000006"/>
    <n v="783"/>
    <n v="0"/>
    <n v="0"/>
    <n v="90"/>
    <x v="12"/>
    <n v="1782"/>
    <n v="2871"/>
    <n v="1089"/>
  </r>
  <r>
    <x v="15"/>
    <x v="16"/>
    <x v="5"/>
    <x v="5"/>
    <x v="5"/>
    <x v="6"/>
    <x v="5"/>
    <x v="5"/>
    <x v="3"/>
    <n v="27.550000000000004"/>
    <n v="438.75"/>
    <n v="760.5"/>
    <n v="72.75"/>
    <n v="126.1"/>
    <n v="562.5"/>
    <n v="975"/>
    <n v="105"/>
    <n v="182"/>
    <n v="76.5"/>
    <n v="132.6"/>
    <n v="101.25"/>
    <n v="175.5"/>
    <n v="709.50000000000011"/>
    <n v="1229.8000000000002"/>
    <n v="75"/>
    <x v="13"/>
    <n v="2066.2500000000005"/>
    <n v="3581.5000000000005"/>
    <n v="1515.25"/>
  </r>
  <r>
    <x v="16"/>
    <x v="17"/>
    <x v="6"/>
    <x v="6"/>
    <x v="6"/>
    <x v="7"/>
    <x v="6"/>
    <x v="6"/>
    <x v="4"/>
    <n v="66"/>
    <n v="373.8"/>
    <n v="532"/>
    <n v="26.7"/>
    <n v="38"/>
    <n v="453.9"/>
    <n v="646"/>
    <n v="133.5"/>
    <n v="190"/>
    <n v="427.2"/>
    <n v="608"/>
    <n v="240.29999999999998"/>
    <n v="342"/>
    <n v="106.8"/>
    <n v="152"/>
    <n v="26.7"/>
    <x v="14"/>
    <n v="1762.2"/>
    <n v="2508"/>
    <n v="745.8"/>
  </r>
  <r>
    <x v="17"/>
    <x v="18"/>
    <x v="7"/>
    <x v="7"/>
    <x v="0"/>
    <x v="0"/>
    <x v="0"/>
    <x v="0"/>
    <x v="5"/>
    <n v="12.3"/>
    <n v="288"/>
    <n v="648"/>
    <n v="312"/>
    <n v="702"/>
    <n v="0"/>
    <n v="0"/>
    <n v="0"/>
    <n v="0"/>
    <n v="0"/>
    <n v="0"/>
    <n v="0"/>
    <n v="0"/>
    <n v="384"/>
    <n v="864"/>
    <n v="80"/>
    <x v="15"/>
    <n v="984"/>
    <n v="2214"/>
    <n v="1230"/>
  </r>
  <r>
    <x v="18"/>
    <x v="19"/>
    <x v="8"/>
    <x v="0"/>
    <x v="7"/>
    <x v="8"/>
    <x v="7"/>
    <x v="7"/>
    <x v="6"/>
    <n v="11.760000000000002"/>
    <n v="54"/>
    <n v="108"/>
    <n v="0"/>
    <n v="0"/>
    <n v="12.6"/>
    <n v="25.2"/>
    <n v="216"/>
    <n v="432"/>
    <n v="81"/>
    <n v="162"/>
    <n v="180"/>
    <n v="360"/>
    <n v="162"/>
    <n v="324"/>
    <n v="60"/>
    <x v="10"/>
    <n v="705.60000000000014"/>
    <n v="1411.2000000000003"/>
    <n v="705.60000000000014"/>
  </r>
  <r>
    <x v="19"/>
    <x v="20"/>
    <x v="8"/>
    <x v="0"/>
    <x v="0"/>
    <x v="0"/>
    <x v="0"/>
    <x v="0"/>
    <x v="0"/>
    <n v="0.9"/>
    <n v="54"/>
    <n v="126"/>
    <n v="0"/>
    <n v="0"/>
    <n v="0"/>
    <n v="0"/>
    <n v="0"/>
    <n v="0"/>
    <n v="0"/>
    <n v="0"/>
    <n v="0"/>
    <n v="0"/>
    <n v="0"/>
    <n v="0"/>
    <n v="60"/>
    <x v="11"/>
    <n v="54"/>
    <n v="126"/>
    <n v="72"/>
  </r>
  <r>
    <x v="20"/>
    <x v="21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28"/>
    <x v="16"/>
    <n v="0"/>
    <n v="0"/>
    <n v="0"/>
  </r>
  <r>
    <x v="21"/>
    <x v="22"/>
    <x v="0"/>
    <x v="0"/>
    <x v="8"/>
    <x v="0"/>
    <x v="8"/>
    <x v="0"/>
    <x v="0"/>
    <n v="3.55"/>
    <n v="0"/>
    <n v="0"/>
    <n v="0"/>
    <n v="0"/>
    <n v="57.6"/>
    <n v="72"/>
    <n v="0"/>
    <n v="0"/>
    <n v="56"/>
    <n v="70"/>
    <n v="0"/>
    <n v="0"/>
    <n v="0"/>
    <n v="0"/>
    <n v="32"/>
    <x v="16"/>
    <n v="113.6"/>
    <n v="142"/>
    <n v="28.400000000000006"/>
  </r>
  <r>
    <x v="22"/>
    <x v="23"/>
    <x v="8"/>
    <x v="0"/>
    <x v="9"/>
    <x v="0"/>
    <x v="0"/>
    <x v="0"/>
    <x v="0"/>
    <n v="5.1000000000000005"/>
    <n v="34.200000000000003"/>
    <n v="45"/>
    <n v="0"/>
    <n v="0"/>
    <n v="159.6"/>
    <n v="210"/>
    <n v="0"/>
    <n v="0"/>
    <n v="0"/>
    <n v="0"/>
    <n v="0"/>
    <n v="0"/>
    <n v="0"/>
    <n v="0"/>
    <n v="38"/>
    <x v="8"/>
    <n v="193.8"/>
    <n v="255.00000000000003"/>
    <n v="61.200000000000017"/>
  </r>
  <r>
    <x v="23"/>
    <x v="24"/>
    <x v="9"/>
    <x v="0"/>
    <x v="10"/>
    <x v="0"/>
    <x v="0"/>
    <x v="8"/>
    <x v="0"/>
    <n v="1.4"/>
    <n v="36"/>
    <n v="56"/>
    <n v="0"/>
    <n v="0"/>
    <n v="54"/>
    <n v="84"/>
    <n v="0"/>
    <n v="0"/>
    <n v="0"/>
    <n v="0"/>
    <n v="36"/>
    <n v="56"/>
    <n v="0"/>
    <n v="0"/>
    <n v="90"/>
    <x v="11"/>
    <n v="125.99999999999999"/>
    <n v="196"/>
    <n v="70.000000000000014"/>
  </r>
  <r>
    <x v="24"/>
    <x v="25"/>
    <x v="10"/>
    <x v="8"/>
    <x v="11"/>
    <x v="9"/>
    <x v="9"/>
    <x v="9"/>
    <x v="7"/>
    <n v="390.89"/>
    <n v="3235.56"/>
    <n v="5939.25"/>
    <n v="3810.0599999999995"/>
    <n v="6613.35"/>
    <n v="3481.5059999999999"/>
    <n v="5265.7"/>
    <n v="4228.92"/>
    <n v="6618.75"/>
    <n v="4186.28"/>
    <n v="6801.6"/>
    <n v="2937.2040000000002"/>
    <n v="5099.75"/>
    <n v="3390.1440000000002"/>
    <n v="6631.8"/>
    <m/>
    <x v="17"/>
    <n v="25269.673999999999"/>
    <n v="42970.200000000004"/>
    <n v="17700.5260000000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89"/>
    <x v="0"/>
    <n v="0"/>
    <n v="0"/>
    <n v="0"/>
  </r>
  <r>
    <x v="1"/>
    <x v="1"/>
    <x v="0"/>
    <x v="0"/>
    <x v="0"/>
    <x v="1"/>
    <x v="1"/>
    <x v="0"/>
    <x v="1"/>
    <n v="44"/>
    <n v="0"/>
    <n v="0"/>
    <n v="0"/>
    <n v="0"/>
    <n v="0"/>
    <n v="0"/>
    <n v="500"/>
    <n v="950"/>
    <n v="850"/>
    <n v="1615"/>
    <n v="0"/>
    <n v="0"/>
    <n v="850"/>
    <n v="1615"/>
    <n v="50"/>
    <x v="1"/>
    <n v="2200"/>
    <n v="4180"/>
    <n v="1980"/>
  </r>
  <r>
    <x v="2"/>
    <x v="2"/>
    <x v="0"/>
    <x v="0"/>
    <x v="1"/>
    <x v="0"/>
    <x v="0"/>
    <x v="0"/>
    <x v="0"/>
    <n v="17"/>
    <n v="0"/>
    <n v="0"/>
    <n v="0"/>
    <n v="0"/>
    <n v="1088"/>
    <n v="1394"/>
    <n v="0"/>
    <n v="0"/>
    <n v="0"/>
    <n v="0"/>
    <n v="0"/>
    <n v="0"/>
    <n v="0"/>
    <n v="0"/>
    <n v="64"/>
    <x v="2"/>
    <n v="1088"/>
    <n v="1394"/>
    <n v="306"/>
  </r>
  <r>
    <x v="3"/>
    <x v="3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50"/>
    <x v="3"/>
    <n v="0"/>
    <n v="0"/>
    <n v="0"/>
  </r>
  <r>
    <x v="4"/>
    <x v="4"/>
    <x v="0"/>
    <x v="0"/>
    <x v="0"/>
    <x v="0"/>
    <x v="0"/>
    <x v="1"/>
    <x v="0"/>
    <n v="33"/>
    <n v="0"/>
    <n v="0"/>
    <n v="0"/>
    <n v="0"/>
    <n v="0"/>
    <n v="0"/>
    <n v="0"/>
    <n v="0"/>
    <n v="0"/>
    <n v="0"/>
    <n v="1877.7"/>
    <n v="2970"/>
    <n v="0"/>
    <n v="0"/>
    <n v="56.9"/>
    <x v="4"/>
    <n v="1877.7"/>
    <n v="2970"/>
    <n v="1092.3"/>
  </r>
  <r>
    <x v="5"/>
    <x v="5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x v="5"/>
    <n v="0"/>
    <n v="0"/>
    <n v="0"/>
  </r>
  <r>
    <x v="5"/>
    <x v="6"/>
    <x v="1"/>
    <x v="1"/>
    <x v="2"/>
    <x v="2"/>
    <x v="2"/>
    <x v="2"/>
    <x v="2"/>
    <n v="90"/>
    <n v="516.6"/>
    <n v="1050"/>
    <n v="1180.8"/>
    <n v="2400"/>
    <n v="110.69999999999999"/>
    <n v="225"/>
    <n v="959.4"/>
    <n v="1950"/>
    <n v="1623.6"/>
    <n v="3300"/>
    <n v="184.5"/>
    <n v="375"/>
    <n v="2066.4"/>
    <n v="4200"/>
    <n v="73.8"/>
    <x v="6"/>
    <n v="6642"/>
    <n v="13500"/>
    <n v="6858"/>
  </r>
  <r>
    <x v="6"/>
    <x v="7"/>
    <x v="2"/>
    <x v="2"/>
    <x v="3"/>
    <x v="3"/>
    <x v="0"/>
    <x v="0"/>
    <x v="0"/>
    <n v="14.5"/>
    <n v="73.8"/>
    <n v="150"/>
    <n v="258.3"/>
    <n v="525"/>
    <n v="664.19999999999993"/>
    <n v="1350"/>
    <n v="73.8"/>
    <n v="150"/>
    <n v="0"/>
    <n v="0"/>
    <n v="0"/>
    <n v="0"/>
    <n v="0"/>
    <n v="0"/>
    <n v="73.8"/>
    <x v="6"/>
    <n v="1070.0999999999999"/>
    <n v="2175"/>
    <n v="1104.9000000000001"/>
  </r>
  <r>
    <x v="7"/>
    <x v="8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55"/>
    <x v="7"/>
    <n v="0"/>
    <n v="0"/>
    <n v="0"/>
  </r>
  <r>
    <x v="8"/>
    <x v="9"/>
    <x v="3"/>
    <x v="3"/>
    <x v="0"/>
    <x v="4"/>
    <x v="0"/>
    <x v="3"/>
    <x v="0"/>
    <n v="74"/>
    <n v="537"/>
    <n v="1125"/>
    <n v="894.99999999999989"/>
    <n v="1875"/>
    <n v="0"/>
    <n v="0"/>
    <n v="751.8"/>
    <n v="1575"/>
    <n v="0"/>
    <n v="0"/>
    <n v="465.4"/>
    <n v="975"/>
    <n v="0"/>
    <n v="0"/>
    <n v="35.799999999999997"/>
    <x v="7"/>
    <n v="2649.2"/>
    <n v="5550"/>
    <n v="2900.8"/>
  </r>
  <r>
    <x v="9"/>
    <x v="1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50"/>
    <x v="8"/>
    <n v="0"/>
    <n v="0"/>
    <n v="0"/>
  </r>
  <r>
    <x v="10"/>
    <x v="11"/>
    <x v="0"/>
    <x v="4"/>
    <x v="4"/>
    <x v="4"/>
    <x v="3"/>
    <x v="0"/>
    <x v="0"/>
    <n v="53"/>
    <n v="0"/>
    <n v="0"/>
    <n v="1820"/>
    <n v="2080"/>
    <n v="1120"/>
    <n v="1280"/>
    <n v="2940"/>
    <n v="3360"/>
    <n v="1540"/>
    <n v="1760"/>
    <n v="0"/>
    <n v="0"/>
    <n v="0"/>
    <n v="0"/>
    <n v="140"/>
    <x v="9"/>
    <n v="7420"/>
    <n v="8480"/>
    <n v="1060"/>
  </r>
  <r>
    <x v="11"/>
    <x v="12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20"/>
    <x v="10"/>
    <n v="0"/>
    <n v="0"/>
    <n v="0"/>
  </r>
  <r>
    <x v="12"/>
    <x v="13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89"/>
    <x v="10"/>
    <n v="0"/>
    <n v="0"/>
    <n v="0"/>
  </r>
  <r>
    <x v="13"/>
    <x v="14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80"/>
    <x v="11"/>
    <n v="0"/>
    <n v="0"/>
    <n v="0"/>
  </r>
  <r>
    <x v="14"/>
    <x v="15"/>
    <x v="4"/>
    <x v="0"/>
    <x v="0"/>
    <x v="0"/>
    <x v="4"/>
    <x v="4"/>
    <x v="0"/>
    <n v="30"/>
    <n v="1530"/>
    <n v="2465"/>
    <n v="0"/>
    <n v="0"/>
    <n v="0"/>
    <n v="0"/>
    <n v="0"/>
    <n v="0"/>
    <n v="540"/>
    <n v="870"/>
    <n v="630"/>
    <n v="1015"/>
    <n v="0"/>
    <n v="0"/>
    <n v="90"/>
    <x v="12"/>
    <n v="2700"/>
    <n v="4350"/>
    <n v="1650"/>
  </r>
  <r>
    <x v="15"/>
    <x v="16"/>
    <x v="5"/>
    <x v="5"/>
    <x v="5"/>
    <x v="5"/>
    <x v="5"/>
    <x v="5"/>
    <x v="3"/>
    <n v="32"/>
    <n v="750"/>
    <n v="1300"/>
    <n v="75"/>
    <n v="130"/>
    <n v="562.5"/>
    <n v="975"/>
    <n v="112.5"/>
    <n v="195"/>
    <n v="75"/>
    <n v="130"/>
    <n v="75"/>
    <n v="130"/>
    <n v="750"/>
    <n v="1300"/>
    <n v="75"/>
    <x v="13"/>
    <n v="2400"/>
    <n v="4160"/>
    <n v="1760"/>
  </r>
  <r>
    <x v="16"/>
    <x v="17"/>
    <x v="4"/>
    <x v="0"/>
    <x v="6"/>
    <x v="6"/>
    <x v="6"/>
    <x v="6"/>
    <x v="4"/>
    <n v="77.5"/>
    <n v="453.9"/>
    <n v="646"/>
    <n v="0"/>
    <n v="0"/>
    <n v="534"/>
    <n v="760"/>
    <n v="120.14999999999999"/>
    <n v="171"/>
    <n v="560.69999999999993"/>
    <n v="798"/>
    <n v="293.7"/>
    <n v="418"/>
    <n v="106.8"/>
    <n v="152"/>
    <n v="26.7"/>
    <x v="14"/>
    <n v="2069.25"/>
    <n v="2945"/>
    <n v="875.75"/>
  </r>
  <r>
    <x v="17"/>
    <x v="18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80"/>
    <x v="15"/>
    <n v="0"/>
    <n v="0"/>
    <n v="0"/>
  </r>
  <r>
    <x v="18"/>
    <x v="19"/>
    <x v="6"/>
    <x v="6"/>
    <x v="7"/>
    <x v="7"/>
    <x v="7"/>
    <x v="7"/>
    <x v="5"/>
    <n v="36.5"/>
    <n v="480"/>
    <n v="960"/>
    <n v="420"/>
    <n v="840"/>
    <n v="30"/>
    <n v="60"/>
    <n v="300"/>
    <n v="600"/>
    <n v="120"/>
    <n v="240"/>
    <n v="300"/>
    <n v="600"/>
    <n v="540"/>
    <n v="1080"/>
    <n v="60"/>
    <x v="10"/>
    <n v="2190"/>
    <n v="4380"/>
    <n v="2190"/>
  </r>
  <r>
    <x v="19"/>
    <x v="2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60"/>
    <x v="11"/>
    <n v="0"/>
    <n v="0"/>
    <n v="0"/>
  </r>
  <r>
    <x v="20"/>
    <x v="21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28"/>
    <x v="16"/>
    <n v="0"/>
    <n v="0"/>
    <n v="0"/>
  </r>
  <r>
    <x v="21"/>
    <x v="22"/>
    <x v="0"/>
    <x v="0"/>
    <x v="8"/>
    <x v="0"/>
    <x v="8"/>
    <x v="0"/>
    <x v="0"/>
    <n v="5"/>
    <n v="0"/>
    <n v="0"/>
    <n v="0"/>
    <n v="0"/>
    <n v="80"/>
    <n v="100"/>
    <n v="0"/>
    <n v="0"/>
    <n v="80"/>
    <n v="100"/>
    <n v="0"/>
    <n v="0"/>
    <n v="0"/>
    <n v="0"/>
    <n v="32"/>
    <x v="16"/>
    <n v="160"/>
    <n v="200"/>
    <n v="40"/>
  </r>
  <r>
    <x v="22"/>
    <x v="23"/>
    <x v="7"/>
    <x v="0"/>
    <x v="9"/>
    <x v="0"/>
    <x v="0"/>
    <x v="0"/>
    <x v="0"/>
    <n v="9"/>
    <n v="76"/>
    <n v="100"/>
    <n v="0"/>
    <n v="0"/>
    <n v="266"/>
    <n v="350"/>
    <n v="0"/>
    <n v="0"/>
    <n v="0"/>
    <n v="0"/>
    <n v="0"/>
    <n v="0"/>
    <n v="0"/>
    <n v="0"/>
    <n v="38"/>
    <x v="8"/>
    <n v="342"/>
    <n v="450"/>
    <n v="108"/>
  </r>
  <r>
    <x v="23"/>
    <x v="24"/>
    <x v="8"/>
    <x v="0"/>
    <x v="10"/>
    <x v="0"/>
    <x v="0"/>
    <x v="8"/>
    <x v="0"/>
    <n v="2.2000000000000002"/>
    <n v="62.999999999999993"/>
    <n v="98"/>
    <n v="0"/>
    <n v="0"/>
    <n v="72"/>
    <n v="112"/>
    <n v="0"/>
    <n v="0"/>
    <n v="0"/>
    <n v="0"/>
    <n v="62.999999999999993"/>
    <n v="98"/>
    <n v="0"/>
    <n v="0"/>
    <n v="90"/>
    <x v="11"/>
    <n v="198.00000000000003"/>
    <n v="308"/>
    <n v="109.99999999999997"/>
  </r>
  <r>
    <x v="24"/>
    <x v="25"/>
    <x v="9"/>
    <x v="7"/>
    <x v="11"/>
    <x v="8"/>
    <x v="9"/>
    <x v="9"/>
    <x v="6"/>
    <n v="517.70000000000005"/>
    <n v="4480.3"/>
    <n v="7894"/>
    <n v="4649.1000000000004"/>
    <n v="7850"/>
    <n v="4527.3999999999996"/>
    <n v="6606"/>
    <n v="5757.65"/>
    <n v="8951"/>
    <n v="5389.3"/>
    <n v="8813"/>
    <n v="3889.2999999999997"/>
    <n v="6581"/>
    <n v="4313.2000000000007"/>
    <n v="8347"/>
    <m/>
    <x v="17"/>
    <n v="33006.25"/>
    <n v="55042"/>
    <n v="22035.7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x v="0"/>
    <x v="0"/>
    <x v="0"/>
    <x v="0"/>
    <x v="0"/>
    <x v="0"/>
  </r>
  <r>
    <x v="1"/>
    <x v="1"/>
    <x v="0"/>
    <x v="0"/>
    <x v="0"/>
    <x v="1"/>
    <x v="0"/>
    <x v="0"/>
    <x v="1"/>
  </r>
  <r>
    <x v="2"/>
    <x v="2"/>
    <x v="0"/>
    <x v="0"/>
    <x v="1"/>
    <x v="0"/>
    <x v="1"/>
    <x v="1"/>
    <x v="0"/>
  </r>
  <r>
    <x v="3"/>
    <x v="3"/>
    <x v="0"/>
    <x v="0"/>
    <x v="0"/>
    <x v="0"/>
    <x v="0"/>
    <x v="0"/>
    <x v="0"/>
  </r>
  <r>
    <x v="4"/>
    <x v="4"/>
    <x v="0"/>
    <x v="0"/>
    <x v="0"/>
    <x v="0"/>
    <x v="0"/>
    <x v="2"/>
    <x v="0"/>
  </r>
  <r>
    <x v="5"/>
    <x v="5"/>
    <x v="0"/>
    <x v="0"/>
    <x v="0"/>
    <x v="0"/>
    <x v="0"/>
    <x v="0"/>
    <x v="0"/>
  </r>
  <r>
    <x v="6"/>
    <x v="6"/>
    <x v="1"/>
    <x v="1"/>
    <x v="2"/>
    <x v="2"/>
    <x v="2"/>
    <x v="3"/>
    <x v="2"/>
  </r>
  <r>
    <x v="7"/>
    <x v="7"/>
    <x v="2"/>
    <x v="2"/>
    <x v="3"/>
    <x v="3"/>
    <x v="0"/>
    <x v="0"/>
    <x v="0"/>
  </r>
  <r>
    <x v="8"/>
    <x v="8"/>
    <x v="0"/>
    <x v="0"/>
    <x v="0"/>
    <x v="0"/>
    <x v="0"/>
    <x v="0"/>
    <x v="0"/>
  </r>
  <r>
    <x v="9"/>
    <x v="9"/>
    <x v="3"/>
    <x v="3"/>
    <x v="0"/>
    <x v="4"/>
    <x v="0"/>
    <x v="4"/>
    <x v="0"/>
  </r>
  <r>
    <x v="10"/>
    <x v="10"/>
    <x v="0"/>
    <x v="0"/>
    <x v="0"/>
    <x v="0"/>
    <x v="0"/>
    <x v="0"/>
    <x v="0"/>
  </r>
  <r>
    <x v="11"/>
    <x v="11"/>
    <x v="0"/>
    <x v="4"/>
    <x v="4"/>
    <x v="5"/>
    <x v="3"/>
    <x v="0"/>
    <x v="0"/>
  </r>
  <r>
    <x v="12"/>
    <x v="12"/>
    <x v="0"/>
    <x v="0"/>
    <x v="0"/>
    <x v="0"/>
    <x v="0"/>
    <x v="0"/>
    <x v="0"/>
  </r>
  <r>
    <x v="13"/>
    <x v="13"/>
    <x v="0"/>
    <x v="0"/>
    <x v="0"/>
    <x v="0"/>
    <x v="0"/>
    <x v="0"/>
    <x v="0"/>
  </r>
  <r>
    <x v="14"/>
    <x v="14"/>
    <x v="4"/>
    <x v="0"/>
    <x v="0"/>
    <x v="0"/>
    <x v="4"/>
    <x v="5"/>
    <x v="0"/>
  </r>
  <r>
    <x v="15"/>
    <x v="15"/>
    <x v="5"/>
    <x v="0"/>
    <x v="0"/>
    <x v="0"/>
    <x v="5"/>
    <x v="0"/>
    <x v="0"/>
  </r>
  <r>
    <x v="16"/>
    <x v="16"/>
    <x v="6"/>
    <x v="5"/>
    <x v="5"/>
    <x v="6"/>
    <x v="6"/>
    <x v="6"/>
    <x v="3"/>
  </r>
  <r>
    <x v="17"/>
    <x v="17"/>
    <x v="7"/>
    <x v="6"/>
    <x v="6"/>
    <x v="7"/>
    <x v="7"/>
    <x v="7"/>
    <x v="4"/>
  </r>
  <r>
    <x v="18"/>
    <x v="18"/>
    <x v="0"/>
    <x v="0"/>
    <x v="0"/>
    <x v="0"/>
    <x v="0"/>
    <x v="0"/>
    <x v="0"/>
  </r>
  <r>
    <x v="19"/>
    <x v="19"/>
    <x v="8"/>
    <x v="0"/>
    <x v="0"/>
    <x v="8"/>
    <x v="8"/>
    <x v="8"/>
    <x v="5"/>
  </r>
  <r>
    <x v="20"/>
    <x v="20"/>
    <x v="9"/>
    <x v="0"/>
    <x v="0"/>
    <x v="0"/>
    <x v="0"/>
    <x v="0"/>
    <x v="0"/>
  </r>
  <r>
    <x v="21"/>
    <x v="21"/>
    <x v="0"/>
    <x v="0"/>
    <x v="0"/>
    <x v="0"/>
    <x v="0"/>
    <x v="0"/>
    <x v="0"/>
  </r>
  <r>
    <x v="22"/>
    <x v="22"/>
    <x v="0"/>
    <x v="0"/>
    <x v="7"/>
    <x v="0"/>
    <x v="9"/>
    <x v="0"/>
    <x v="0"/>
  </r>
  <r>
    <x v="23"/>
    <x v="23"/>
    <x v="10"/>
    <x v="0"/>
    <x v="8"/>
    <x v="0"/>
    <x v="0"/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x v="0"/>
    <x v="0"/>
    <x v="0"/>
    <x v="0"/>
  </r>
  <r>
    <x v="1"/>
    <x v="1"/>
    <x v="0"/>
    <x v="1"/>
    <x v="0"/>
    <x v="0"/>
    <x v="0"/>
  </r>
  <r>
    <x v="2"/>
    <x v="2"/>
    <x v="0"/>
    <x v="0"/>
    <x v="0"/>
    <x v="0"/>
    <x v="0"/>
  </r>
  <r>
    <x v="3"/>
    <x v="3"/>
    <x v="0"/>
    <x v="0"/>
    <x v="0"/>
    <x v="0"/>
    <x v="0"/>
  </r>
  <r>
    <x v="4"/>
    <x v="4"/>
    <x v="0"/>
    <x v="0"/>
    <x v="0"/>
    <x v="0"/>
    <x v="0"/>
  </r>
  <r>
    <x v="5"/>
    <x v="5"/>
    <x v="0"/>
    <x v="0"/>
    <x v="0"/>
    <x v="0"/>
    <x v="0"/>
  </r>
  <r>
    <x v="6"/>
    <x v="6"/>
    <x v="1"/>
    <x v="2"/>
    <x v="1"/>
    <x v="1"/>
    <x v="1"/>
  </r>
  <r>
    <x v="7"/>
    <x v="7"/>
    <x v="0"/>
    <x v="0"/>
    <x v="0"/>
    <x v="0"/>
    <x v="0"/>
  </r>
  <r>
    <x v="8"/>
    <x v="8"/>
    <x v="0"/>
    <x v="0"/>
    <x v="0"/>
    <x v="0"/>
    <x v="0"/>
  </r>
  <r>
    <x v="9"/>
    <x v="9"/>
    <x v="0"/>
    <x v="0"/>
    <x v="0"/>
    <x v="0"/>
    <x v="0"/>
  </r>
  <r>
    <x v="10"/>
    <x v="10"/>
    <x v="0"/>
    <x v="0"/>
    <x v="0"/>
    <x v="0"/>
    <x v="0"/>
  </r>
  <r>
    <x v="11"/>
    <x v="11"/>
    <x v="0"/>
    <x v="0"/>
    <x v="0"/>
    <x v="2"/>
    <x v="0"/>
  </r>
  <r>
    <x v="12"/>
    <x v="12"/>
    <x v="0"/>
    <x v="0"/>
    <x v="0"/>
    <x v="0"/>
    <x v="0"/>
  </r>
  <r>
    <x v="13"/>
    <x v="13"/>
    <x v="0"/>
    <x v="0"/>
    <x v="0"/>
    <x v="0"/>
    <x v="0"/>
  </r>
  <r>
    <x v="14"/>
    <x v="14"/>
    <x v="0"/>
    <x v="0"/>
    <x v="0"/>
    <x v="0"/>
    <x v="0"/>
  </r>
  <r>
    <x v="15"/>
    <x v="15"/>
    <x v="2"/>
    <x v="0"/>
    <x v="0"/>
    <x v="0"/>
    <x v="0"/>
  </r>
  <r>
    <x v="16"/>
    <x v="16"/>
    <x v="3"/>
    <x v="3"/>
    <x v="2"/>
    <x v="0"/>
    <x v="2"/>
  </r>
  <r>
    <x v="17"/>
    <x v="17"/>
    <x v="4"/>
    <x v="4"/>
    <x v="3"/>
    <x v="1"/>
    <x v="2"/>
  </r>
  <r>
    <x v="18"/>
    <x v="18"/>
    <x v="0"/>
    <x v="0"/>
    <x v="0"/>
    <x v="0"/>
    <x v="0"/>
  </r>
  <r>
    <x v="19"/>
    <x v="19"/>
    <x v="0"/>
    <x v="0"/>
    <x v="0"/>
    <x v="0"/>
    <x v="0"/>
  </r>
  <r>
    <x v="20"/>
    <x v="20"/>
    <x v="0"/>
    <x v="0"/>
    <x v="0"/>
    <x v="0"/>
    <x v="0"/>
  </r>
  <r>
    <x v="21"/>
    <x v="21"/>
    <x v="0"/>
    <x v="0"/>
    <x v="0"/>
    <x v="0"/>
    <x v="0"/>
  </r>
  <r>
    <x v="22"/>
    <x v="22"/>
    <x v="0"/>
    <x v="0"/>
    <x v="0"/>
    <x v="0"/>
    <x v="0"/>
  </r>
  <r>
    <x v="23"/>
    <x v="23"/>
    <x v="0"/>
    <x v="0"/>
    <x v="0"/>
    <x v="0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x v="0"/>
    <x v="0"/>
    <x v="0"/>
    <x v="0"/>
    <x v="0"/>
    <x v="0"/>
  </r>
  <r>
    <x v="1"/>
    <x v="1"/>
    <x v="0"/>
    <x v="0"/>
    <x v="0"/>
    <x v="1"/>
    <x v="1"/>
    <x v="0"/>
    <x v="1"/>
  </r>
  <r>
    <x v="2"/>
    <x v="2"/>
    <x v="0"/>
    <x v="0"/>
    <x v="1"/>
    <x v="0"/>
    <x v="0"/>
    <x v="0"/>
    <x v="0"/>
  </r>
  <r>
    <x v="3"/>
    <x v="3"/>
    <x v="0"/>
    <x v="0"/>
    <x v="0"/>
    <x v="0"/>
    <x v="0"/>
    <x v="0"/>
    <x v="0"/>
  </r>
  <r>
    <x v="4"/>
    <x v="4"/>
    <x v="0"/>
    <x v="0"/>
    <x v="0"/>
    <x v="0"/>
    <x v="0"/>
    <x v="1"/>
    <x v="0"/>
  </r>
  <r>
    <x v="5"/>
    <x v="5"/>
    <x v="0"/>
    <x v="0"/>
    <x v="0"/>
    <x v="0"/>
    <x v="0"/>
    <x v="0"/>
    <x v="0"/>
  </r>
  <r>
    <x v="6"/>
    <x v="6"/>
    <x v="1"/>
    <x v="1"/>
    <x v="2"/>
    <x v="2"/>
    <x v="2"/>
    <x v="2"/>
    <x v="2"/>
  </r>
  <r>
    <x v="7"/>
    <x v="7"/>
    <x v="2"/>
    <x v="2"/>
    <x v="3"/>
    <x v="3"/>
    <x v="0"/>
    <x v="0"/>
    <x v="0"/>
  </r>
  <r>
    <x v="8"/>
    <x v="8"/>
    <x v="0"/>
    <x v="0"/>
    <x v="0"/>
    <x v="0"/>
    <x v="0"/>
    <x v="0"/>
    <x v="0"/>
  </r>
  <r>
    <x v="9"/>
    <x v="9"/>
    <x v="3"/>
    <x v="3"/>
    <x v="0"/>
    <x v="4"/>
    <x v="0"/>
    <x v="3"/>
    <x v="0"/>
  </r>
  <r>
    <x v="10"/>
    <x v="10"/>
    <x v="0"/>
    <x v="0"/>
    <x v="0"/>
    <x v="0"/>
    <x v="0"/>
    <x v="0"/>
    <x v="0"/>
  </r>
  <r>
    <x v="11"/>
    <x v="11"/>
    <x v="0"/>
    <x v="4"/>
    <x v="4"/>
    <x v="4"/>
    <x v="3"/>
    <x v="0"/>
    <x v="0"/>
  </r>
  <r>
    <x v="12"/>
    <x v="12"/>
    <x v="0"/>
    <x v="0"/>
    <x v="0"/>
    <x v="0"/>
    <x v="0"/>
    <x v="0"/>
    <x v="0"/>
  </r>
  <r>
    <x v="13"/>
    <x v="13"/>
    <x v="0"/>
    <x v="0"/>
    <x v="0"/>
    <x v="0"/>
    <x v="0"/>
    <x v="0"/>
    <x v="0"/>
  </r>
  <r>
    <x v="14"/>
    <x v="14"/>
    <x v="0"/>
    <x v="0"/>
    <x v="0"/>
    <x v="0"/>
    <x v="0"/>
    <x v="0"/>
    <x v="0"/>
  </r>
  <r>
    <x v="15"/>
    <x v="15"/>
    <x v="4"/>
    <x v="0"/>
    <x v="0"/>
    <x v="0"/>
    <x v="4"/>
    <x v="4"/>
    <x v="0"/>
  </r>
  <r>
    <x v="16"/>
    <x v="16"/>
    <x v="5"/>
    <x v="5"/>
    <x v="5"/>
    <x v="5"/>
    <x v="5"/>
    <x v="5"/>
    <x v="3"/>
  </r>
  <r>
    <x v="17"/>
    <x v="17"/>
    <x v="4"/>
    <x v="0"/>
    <x v="6"/>
    <x v="6"/>
    <x v="6"/>
    <x v="6"/>
    <x v="4"/>
  </r>
  <r>
    <x v="18"/>
    <x v="18"/>
    <x v="0"/>
    <x v="0"/>
    <x v="0"/>
    <x v="0"/>
    <x v="0"/>
    <x v="0"/>
    <x v="0"/>
  </r>
  <r>
    <x v="19"/>
    <x v="19"/>
    <x v="6"/>
    <x v="6"/>
    <x v="7"/>
    <x v="7"/>
    <x v="7"/>
    <x v="7"/>
    <x v="5"/>
  </r>
  <r>
    <x v="20"/>
    <x v="20"/>
    <x v="0"/>
    <x v="0"/>
    <x v="0"/>
    <x v="0"/>
    <x v="0"/>
    <x v="0"/>
    <x v="0"/>
  </r>
  <r>
    <x v="21"/>
    <x v="21"/>
    <x v="0"/>
    <x v="0"/>
    <x v="0"/>
    <x v="0"/>
    <x v="0"/>
    <x v="0"/>
    <x v="0"/>
  </r>
  <r>
    <x v="22"/>
    <x v="22"/>
    <x v="0"/>
    <x v="0"/>
    <x v="8"/>
    <x v="0"/>
    <x v="8"/>
    <x v="0"/>
    <x v="0"/>
  </r>
  <r>
    <x v="23"/>
    <x v="23"/>
    <x v="7"/>
    <x v="0"/>
    <x v="9"/>
    <x v="0"/>
    <x v="0"/>
    <x v="0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x v="0"/>
    <x v="0"/>
    <x v="0"/>
    <x v="0"/>
    <x v="0"/>
    <x v="0"/>
  </r>
  <r>
    <x v="1"/>
    <x v="1"/>
    <x v="0"/>
    <x v="0"/>
    <x v="0"/>
    <x v="1"/>
    <x v="1"/>
    <x v="0"/>
    <x v="1"/>
  </r>
  <r>
    <x v="2"/>
    <x v="2"/>
    <x v="0"/>
    <x v="0"/>
    <x v="1"/>
    <x v="0"/>
    <x v="0"/>
    <x v="0"/>
    <x v="0"/>
  </r>
  <r>
    <x v="3"/>
    <x v="3"/>
    <x v="0"/>
    <x v="0"/>
    <x v="0"/>
    <x v="0"/>
    <x v="0"/>
    <x v="0"/>
    <x v="0"/>
  </r>
  <r>
    <x v="4"/>
    <x v="4"/>
    <x v="0"/>
    <x v="0"/>
    <x v="0"/>
    <x v="0"/>
    <x v="0"/>
    <x v="1"/>
    <x v="0"/>
  </r>
  <r>
    <x v="5"/>
    <x v="5"/>
    <x v="0"/>
    <x v="0"/>
    <x v="0"/>
    <x v="0"/>
    <x v="0"/>
    <x v="0"/>
    <x v="0"/>
  </r>
  <r>
    <x v="6"/>
    <x v="6"/>
    <x v="1"/>
    <x v="1"/>
    <x v="2"/>
    <x v="2"/>
    <x v="2"/>
    <x v="2"/>
    <x v="2"/>
  </r>
  <r>
    <x v="7"/>
    <x v="7"/>
    <x v="2"/>
    <x v="2"/>
    <x v="3"/>
    <x v="3"/>
    <x v="0"/>
    <x v="0"/>
    <x v="0"/>
  </r>
  <r>
    <x v="8"/>
    <x v="8"/>
    <x v="0"/>
    <x v="0"/>
    <x v="0"/>
    <x v="0"/>
    <x v="0"/>
    <x v="0"/>
    <x v="0"/>
  </r>
  <r>
    <x v="9"/>
    <x v="9"/>
    <x v="3"/>
    <x v="3"/>
    <x v="0"/>
    <x v="4"/>
    <x v="0"/>
    <x v="3"/>
    <x v="0"/>
  </r>
  <r>
    <x v="10"/>
    <x v="10"/>
    <x v="0"/>
    <x v="0"/>
    <x v="0"/>
    <x v="0"/>
    <x v="0"/>
    <x v="0"/>
    <x v="0"/>
  </r>
  <r>
    <x v="11"/>
    <x v="11"/>
    <x v="0"/>
    <x v="4"/>
    <x v="4"/>
    <x v="5"/>
    <x v="3"/>
    <x v="0"/>
    <x v="0"/>
  </r>
  <r>
    <x v="12"/>
    <x v="12"/>
    <x v="0"/>
    <x v="0"/>
    <x v="0"/>
    <x v="0"/>
    <x v="0"/>
    <x v="0"/>
    <x v="0"/>
  </r>
  <r>
    <x v="13"/>
    <x v="13"/>
    <x v="0"/>
    <x v="0"/>
    <x v="0"/>
    <x v="0"/>
    <x v="0"/>
    <x v="0"/>
    <x v="0"/>
  </r>
  <r>
    <x v="14"/>
    <x v="14"/>
    <x v="0"/>
    <x v="0"/>
    <x v="0"/>
    <x v="0"/>
    <x v="0"/>
    <x v="0"/>
    <x v="0"/>
  </r>
  <r>
    <x v="15"/>
    <x v="15"/>
    <x v="4"/>
    <x v="0"/>
    <x v="0"/>
    <x v="0"/>
    <x v="4"/>
    <x v="4"/>
    <x v="0"/>
  </r>
  <r>
    <x v="16"/>
    <x v="16"/>
    <x v="5"/>
    <x v="5"/>
    <x v="5"/>
    <x v="6"/>
    <x v="5"/>
    <x v="5"/>
    <x v="3"/>
  </r>
  <r>
    <x v="17"/>
    <x v="17"/>
    <x v="6"/>
    <x v="6"/>
    <x v="6"/>
    <x v="7"/>
    <x v="6"/>
    <x v="6"/>
    <x v="4"/>
  </r>
  <r>
    <x v="18"/>
    <x v="18"/>
    <x v="7"/>
    <x v="7"/>
    <x v="0"/>
    <x v="0"/>
    <x v="0"/>
    <x v="0"/>
    <x v="5"/>
  </r>
  <r>
    <x v="19"/>
    <x v="19"/>
    <x v="8"/>
    <x v="0"/>
    <x v="7"/>
    <x v="8"/>
    <x v="7"/>
    <x v="7"/>
    <x v="6"/>
  </r>
  <r>
    <x v="20"/>
    <x v="20"/>
    <x v="8"/>
    <x v="0"/>
    <x v="0"/>
    <x v="0"/>
    <x v="0"/>
    <x v="0"/>
    <x v="0"/>
  </r>
  <r>
    <x v="21"/>
    <x v="21"/>
    <x v="0"/>
    <x v="0"/>
    <x v="0"/>
    <x v="0"/>
    <x v="0"/>
    <x v="0"/>
    <x v="0"/>
  </r>
  <r>
    <x v="22"/>
    <x v="22"/>
    <x v="0"/>
    <x v="0"/>
    <x v="8"/>
    <x v="0"/>
    <x v="8"/>
    <x v="0"/>
    <x v="0"/>
  </r>
  <r>
    <x v="23"/>
    <x v="23"/>
    <x v="8"/>
    <x v="0"/>
    <x v="9"/>
    <x v="0"/>
    <x v="0"/>
    <x v="0"/>
    <x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89"/>
    <x v="0"/>
    <n v="0"/>
    <n v="0"/>
    <n v="0"/>
  </r>
  <r>
    <x v="1"/>
    <x v="1"/>
    <x v="0"/>
    <x v="0"/>
    <x v="0"/>
    <x v="1"/>
    <x v="0"/>
    <x v="0"/>
    <x v="1"/>
    <n v="26.4"/>
    <n v="0"/>
    <n v="0"/>
    <n v="0"/>
    <n v="0"/>
    <n v="0"/>
    <n v="0"/>
    <n v="600"/>
    <n v="1140"/>
    <n v="0"/>
    <n v="0"/>
    <n v="0"/>
    <n v="0"/>
    <n v="720"/>
    <n v="1368"/>
    <n v="50"/>
    <x v="1"/>
    <n v="1320"/>
    <n v="2508"/>
    <n v="1188"/>
  </r>
  <r>
    <x v="2"/>
    <x v="2"/>
    <x v="0"/>
    <x v="0"/>
    <x v="1"/>
    <x v="0"/>
    <x v="1"/>
    <x v="1"/>
    <x v="0"/>
    <n v="40.799999999999997"/>
    <n v="0"/>
    <n v="0"/>
    <n v="0"/>
    <n v="0"/>
    <n v="921.6"/>
    <n v="1180.8"/>
    <n v="0"/>
    <n v="0"/>
    <n v="921.6"/>
    <n v="1180.8"/>
    <n v="768"/>
    <n v="984"/>
    <n v="0"/>
    <n v="0"/>
    <n v="64"/>
    <x v="2"/>
    <n v="2611.1999999999998"/>
    <n v="3345.6"/>
    <n v="734.40000000000009"/>
  </r>
  <r>
    <x v="3"/>
    <x v="3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50"/>
    <x v="3"/>
    <n v="0"/>
    <n v="0"/>
    <n v="0"/>
  </r>
  <r>
    <x v="4"/>
    <x v="4"/>
    <x v="0"/>
    <x v="0"/>
    <x v="0"/>
    <x v="0"/>
    <x v="0"/>
    <x v="2"/>
    <x v="0"/>
    <n v="65"/>
    <n v="0"/>
    <n v="0"/>
    <n v="0"/>
    <n v="0"/>
    <n v="0"/>
    <n v="0"/>
    <n v="0"/>
    <n v="0"/>
    <n v="0"/>
    <n v="0"/>
    <n v="3698.5"/>
    <n v="5850"/>
    <n v="0"/>
    <n v="0"/>
    <n v="56.9"/>
    <x v="4"/>
    <n v="3698.5"/>
    <n v="5850"/>
    <n v="2151.5"/>
  </r>
  <r>
    <x v="5"/>
    <x v="5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x v="5"/>
    <n v="0"/>
    <n v="0"/>
    <n v="0"/>
  </r>
  <r>
    <x v="6"/>
    <x v="6"/>
    <x v="1"/>
    <x v="1"/>
    <x v="2"/>
    <x v="2"/>
    <x v="2"/>
    <x v="3"/>
    <x v="2"/>
    <n v="106.37"/>
    <n v="847.22400000000005"/>
    <n v="1722"/>
    <n v="1481.9039999999998"/>
    <n v="3011.9999999999995"/>
    <n v="53.135999999999996"/>
    <n v="108"/>
    <n v="976.37400000000002"/>
    <n v="1984.5"/>
    <n v="1870.83"/>
    <n v="3802.5"/>
    <n v="292.24799999999999"/>
    <n v="594"/>
    <n v="2328.39"/>
    <n v="4732.5"/>
    <n v="73.8"/>
    <x v="6"/>
    <n v="7850.1059999999998"/>
    <n v="15955.5"/>
    <n v="8105.3940000000002"/>
  </r>
  <r>
    <x v="7"/>
    <x v="7"/>
    <x v="2"/>
    <x v="2"/>
    <x v="3"/>
    <x v="3"/>
    <x v="0"/>
    <x v="0"/>
    <x v="0"/>
    <n v="22.92"/>
    <n v="70.847999999999999"/>
    <n v="144"/>
    <n v="265.68"/>
    <n v="540"/>
    <n v="1284.1199999999999"/>
    <n v="2610"/>
    <n v="70.847999999999999"/>
    <n v="144"/>
    <n v="0"/>
    <n v="0"/>
    <n v="0"/>
    <n v="0"/>
    <n v="0"/>
    <n v="0"/>
    <n v="73.8"/>
    <x v="6"/>
    <n v="1691.4960000000001"/>
    <n v="3438.0000000000005"/>
    <n v="1746.5040000000004"/>
  </r>
  <r>
    <x v="8"/>
    <x v="8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55"/>
    <x v="7"/>
    <n v="0"/>
    <n v="0"/>
    <n v="0"/>
  </r>
  <r>
    <x v="9"/>
    <x v="9"/>
    <x v="3"/>
    <x v="3"/>
    <x v="0"/>
    <x v="4"/>
    <x v="0"/>
    <x v="4"/>
    <x v="0"/>
    <n v="80.7"/>
    <n v="708.83999999999992"/>
    <n v="1485"/>
    <n v="757.16999999999985"/>
    <n v="1586.25"/>
    <n v="0"/>
    <n v="0"/>
    <n v="644.4"/>
    <n v="1350"/>
    <n v="0"/>
    <n v="0"/>
    <n v="778.65"/>
    <n v="1631.25"/>
    <n v="0"/>
    <n v="0"/>
    <n v="35.799999999999997"/>
    <x v="7"/>
    <n v="2889.06"/>
    <n v="6052.5"/>
    <n v="3163.44"/>
  </r>
  <r>
    <x v="10"/>
    <x v="1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50"/>
    <x v="8"/>
    <n v="0"/>
    <n v="0"/>
    <n v="0"/>
  </r>
  <r>
    <x v="11"/>
    <x v="11"/>
    <x v="0"/>
    <x v="4"/>
    <x v="4"/>
    <x v="5"/>
    <x v="3"/>
    <x v="0"/>
    <x v="0"/>
    <n v="45.35"/>
    <n v="0"/>
    <n v="0"/>
    <n v="1680"/>
    <n v="1920"/>
    <n v="1400"/>
    <n v="1600"/>
    <n v="3138.8"/>
    <n v="3587.2000000000003"/>
    <n v="130.20000000000002"/>
    <n v="148.80000000000001"/>
    <n v="0"/>
    <n v="0"/>
    <n v="0"/>
    <n v="0"/>
    <n v="140"/>
    <x v="9"/>
    <n v="6349"/>
    <n v="7256"/>
    <n v="907"/>
  </r>
  <r>
    <x v="12"/>
    <x v="12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20"/>
    <x v="10"/>
    <n v="0"/>
    <n v="0"/>
    <n v="0"/>
  </r>
  <r>
    <x v="13"/>
    <x v="13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89"/>
    <x v="10"/>
    <n v="0"/>
    <n v="0"/>
    <n v="0"/>
  </r>
  <r>
    <x v="14"/>
    <x v="14"/>
    <x v="4"/>
    <x v="0"/>
    <x v="0"/>
    <x v="0"/>
    <x v="4"/>
    <x v="5"/>
    <x v="0"/>
    <n v="32.799999999999997"/>
    <n v="864"/>
    <n v="1512"/>
    <n v="0"/>
    <n v="0"/>
    <n v="0"/>
    <n v="0"/>
    <n v="0"/>
    <n v="0"/>
    <n v="960"/>
    <n v="1680"/>
    <n v="800"/>
    <n v="1400"/>
    <n v="0"/>
    <n v="0"/>
    <n v="80"/>
    <x v="11"/>
    <n v="2624"/>
    <n v="4592"/>
    <n v="1968"/>
  </r>
  <r>
    <x v="15"/>
    <x v="15"/>
    <x v="5"/>
    <x v="0"/>
    <x v="0"/>
    <x v="0"/>
    <x v="5"/>
    <x v="0"/>
    <x v="0"/>
    <n v="17.7"/>
    <n v="1188"/>
    <n v="1914"/>
    <n v="0"/>
    <n v="0"/>
    <n v="0"/>
    <n v="0"/>
    <n v="0"/>
    <n v="0"/>
    <n v="405"/>
    <n v="652.5"/>
    <n v="0"/>
    <n v="0"/>
    <n v="0"/>
    <n v="0"/>
    <n v="90"/>
    <x v="12"/>
    <n v="1593"/>
    <n v="2566.5"/>
    <n v="973.5"/>
  </r>
  <r>
    <x v="16"/>
    <x v="16"/>
    <x v="6"/>
    <x v="5"/>
    <x v="5"/>
    <x v="6"/>
    <x v="6"/>
    <x v="6"/>
    <x v="3"/>
    <n v="36.239999999999995"/>
    <n v="607.5"/>
    <n v="1053"/>
    <n v="85.499999999999986"/>
    <n v="148.19999999999999"/>
    <n v="841.5"/>
    <n v="1458.6000000000001"/>
    <n v="139.5"/>
    <n v="241.8"/>
    <n v="81"/>
    <n v="140.4"/>
    <n v="54"/>
    <n v="93.6"/>
    <n v="908.99999999999989"/>
    <n v="1575.6"/>
    <n v="75"/>
    <x v="13"/>
    <n v="2717.9999999999995"/>
    <n v="4711.1999999999989"/>
    <n v="1993.1999999999994"/>
  </r>
  <r>
    <x v="17"/>
    <x v="17"/>
    <x v="7"/>
    <x v="6"/>
    <x v="6"/>
    <x v="7"/>
    <x v="7"/>
    <x v="7"/>
    <x v="4"/>
    <n v="63.499999999999986"/>
    <n v="274.74299999999999"/>
    <n v="391.02"/>
    <n v="20.291999999999998"/>
    <n v="28.88"/>
    <n v="574.04999999999995"/>
    <n v="817"/>
    <n v="68.084999999999994"/>
    <n v="96.899999999999991"/>
    <n v="555.36"/>
    <n v="790.4"/>
    <n v="64.347000000000008"/>
    <n v="91.580000000000013"/>
    <n v="138.57300000000001"/>
    <n v="197.22000000000003"/>
    <n v="26.7"/>
    <x v="14"/>
    <n v="1695.4499999999996"/>
    <n v="2412.9999999999995"/>
    <n v="717.55"/>
  </r>
  <r>
    <x v="18"/>
    <x v="18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80"/>
    <x v="15"/>
    <n v="0"/>
    <n v="0"/>
    <n v="0"/>
  </r>
  <r>
    <x v="19"/>
    <x v="19"/>
    <x v="8"/>
    <x v="0"/>
    <x v="0"/>
    <x v="8"/>
    <x v="8"/>
    <x v="8"/>
    <x v="5"/>
    <n v="19.68"/>
    <n v="39.6"/>
    <n v="79.2"/>
    <n v="0"/>
    <n v="0"/>
    <n v="0"/>
    <n v="0"/>
    <n v="453.59999999999997"/>
    <n v="907.19999999999993"/>
    <n v="154.80000000000001"/>
    <n v="309.60000000000002"/>
    <n v="302.39999999999998"/>
    <n v="604.79999999999995"/>
    <n v="230.39999999999998"/>
    <n v="460.79999999999995"/>
    <n v="60"/>
    <x v="10"/>
    <n v="1180.8"/>
    <n v="2361.6"/>
    <n v="1180.8"/>
  </r>
  <r>
    <x v="20"/>
    <x v="20"/>
    <x v="9"/>
    <x v="0"/>
    <x v="0"/>
    <x v="0"/>
    <x v="0"/>
    <x v="0"/>
    <x v="0"/>
    <n v="1.88"/>
    <n v="112.8"/>
    <n v="263.2"/>
    <n v="0"/>
    <n v="0"/>
    <n v="0"/>
    <n v="0"/>
    <n v="0"/>
    <n v="0"/>
    <n v="0"/>
    <n v="0"/>
    <n v="0"/>
    <n v="0"/>
    <n v="0"/>
    <n v="0"/>
    <n v="60"/>
    <x v="11"/>
    <n v="112.8"/>
    <n v="263.2"/>
    <n v="150.39999999999998"/>
  </r>
  <r>
    <x v="21"/>
    <x v="21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28"/>
    <x v="16"/>
    <n v="0"/>
    <n v="0"/>
    <n v="0"/>
  </r>
  <r>
    <x v="22"/>
    <x v="22"/>
    <x v="0"/>
    <x v="0"/>
    <x v="7"/>
    <x v="0"/>
    <x v="9"/>
    <x v="0"/>
    <x v="0"/>
    <n v="5.5"/>
    <n v="0"/>
    <n v="0"/>
    <n v="0"/>
    <n v="0"/>
    <n v="96"/>
    <n v="120"/>
    <n v="0"/>
    <n v="0"/>
    <n v="80"/>
    <n v="100"/>
    <n v="0"/>
    <n v="0"/>
    <n v="0"/>
    <n v="0"/>
    <n v="32"/>
    <x v="16"/>
    <n v="176"/>
    <n v="220"/>
    <n v="44"/>
  </r>
  <r>
    <x v="23"/>
    <x v="23"/>
    <x v="10"/>
    <x v="0"/>
    <x v="8"/>
    <x v="0"/>
    <x v="0"/>
    <x v="0"/>
    <x v="0"/>
    <n v="7.72"/>
    <n v="65.36"/>
    <n v="86"/>
    <n v="0"/>
    <n v="0"/>
    <n v="228"/>
    <n v="300"/>
    <n v="0"/>
    <n v="0"/>
    <n v="0"/>
    <n v="0"/>
    <n v="0"/>
    <n v="0"/>
    <n v="0"/>
    <n v="0"/>
    <n v="38"/>
    <x v="8"/>
    <n v="293.36"/>
    <n v="386"/>
    <n v="92.639999999999986"/>
  </r>
  <r>
    <x v="24"/>
    <x v="24"/>
    <x v="11"/>
    <x v="0"/>
    <x v="9"/>
    <x v="0"/>
    <x v="0"/>
    <x v="9"/>
    <x v="0"/>
    <n v="2.15"/>
    <n v="49.500000000000007"/>
    <n v="77"/>
    <n v="0"/>
    <n v="0"/>
    <n v="90"/>
    <n v="140"/>
    <n v="0"/>
    <n v="0"/>
    <n v="0"/>
    <n v="0"/>
    <n v="54"/>
    <n v="84"/>
    <n v="0"/>
    <n v="0"/>
    <n v="90"/>
    <x v="11"/>
    <n v="193.5"/>
    <n v="301"/>
    <n v="107.5"/>
  </r>
  <r>
    <x v="25"/>
    <x v="25"/>
    <x v="12"/>
    <x v="7"/>
    <x v="10"/>
    <x v="9"/>
    <x v="10"/>
    <x v="10"/>
    <x v="6"/>
    <n v="574.70999999999992"/>
    <n v="4828.4150000000009"/>
    <n v="8726.4200000000019"/>
    <n v="4290.5460000000003"/>
    <n v="7235.33"/>
    <n v="5488.4059999999999"/>
    <n v="8334.4000000000015"/>
    <n v="6091.6070000000009"/>
    <n v="9451.6"/>
    <n v="5158.7899999999991"/>
    <n v="8805"/>
    <n v="6812.1449999999986"/>
    <n v="11333.23"/>
    <n v="4326.3629999999994"/>
    <n v="8334.1200000000008"/>
    <m/>
    <x v="17"/>
    <n v="36996.271999999997"/>
    <n v="62220.1"/>
    <n v="25223.82800000000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89"/>
    <x v="0"/>
    <n v="0"/>
    <n v="0"/>
    <n v="0"/>
  </r>
  <r>
    <x v="1"/>
    <x v="1"/>
    <x v="0"/>
    <x v="1"/>
    <x v="0"/>
    <x v="0"/>
    <x v="0"/>
    <n v="6"/>
    <n v="0"/>
    <n v="0"/>
    <n v="300"/>
    <n v="570"/>
    <n v="0"/>
    <n v="0"/>
    <n v="0"/>
    <n v="0"/>
    <n v="0"/>
    <n v="0"/>
    <n v="50"/>
    <x v="1"/>
    <n v="300"/>
    <n v="570"/>
    <n v="270"/>
  </r>
  <r>
    <x v="2"/>
    <x v="2"/>
    <x v="0"/>
    <x v="0"/>
    <x v="0"/>
    <x v="0"/>
    <x v="0"/>
    <n v="0"/>
    <n v="0"/>
    <n v="0"/>
    <n v="0"/>
    <n v="0"/>
    <n v="0"/>
    <n v="0"/>
    <n v="0"/>
    <n v="0"/>
    <n v="0"/>
    <n v="0"/>
    <n v="64"/>
    <x v="2"/>
    <n v="0"/>
    <n v="0"/>
    <n v="0"/>
  </r>
  <r>
    <x v="3"/>
    <x v="3"/>
    <x v="0"/>
    <x v="0"/>
    <x v="0"/>
    <x v="0"/>
    <x v="0"/>
    <n v="0"/>
    <n v="0"/>
    <n v="0"/>
    <n v="0"/>
    <n v="0"/>
    <n v="0"/>
    <n v="0"/>
    <n v="0"/>
    <n v="0"/>
    <n v="0"/>
    <n v="0"/>
    <n v="50"/>
    <x v="3"/>
    <n v="0"/>
    <n v="0"/>
    <n v="0"/>
  </r>
  <r>
    <x v="4"/>
    <x v="4"/>
    <x v="0"/>
    <x v="0"/>
    <x v="0"/>
    <x v="0"/>
    <x v="0"/>
    <n v="0"/>
    <n v="0"/>
    <n v="0"/>
    <n v="0"/>
    <n v="0"/>
    <n v="0"/>
    <n v="0"/>
    <n v="0"/>
    <n v="0"/>
    <n v="0"/>
    <n v="0"/>
    <n v="56.9"/>
    <x v="4"/>
    <n v="0"/>
    <n v="0"/>
    <n v="0"/>
  </r>
  <r>
    <x v="5"/>
    <x v="5"/>
    <x v="0"/>
    <x v="0"/>
    <x v="0"/>
    <x v="0"/>
    <x v="0"/>
    <n v="0"/>
    <n v="0"/>
    <n v="0"/>
    <n v="0"/>
    <n v="0"/>
    <n v="0"/>
    <n v="0"/>
    <n v="0"/>
    <n v="0"/>
    <n v="0"/>
    <n v="0"/>
    <n v="0"/>
    <x v="5"/>
    <n v="0"/>
    <n v="0"/>
    <n v="0"/>
  </r>
  <r>
    <x v="5"/>
    <x v="6"/>
    <x v="1"/>
    <x v="2"/>
    <x v="1"/>
    <x v="1"/>
    <x v="1"/>
    <n v="29"/>
    <n v="738"/>
    <n v="1500"/>
    <n v="738"/>
    <n v="1500"/>
    <n v="184.5"/>
    <n v="375"/>
    <n v="369"/>
    <n v="750"/>
    <n v="110.69999999999999"/>
    <n v="225"/>
    <n v="73.8"/>
    <x v="6"/>
    <n v="2140.1999999999998"/>
    <n v="4350"/>
    <n v="2209.8000000000002"/>
  </r>
  <r>
    <x v="6"/>
    <x v="7"/>
    <x v="0"/>
    <x v="0"/>
    <x v="0"/>
    <x v="0"/>
    <x v="0"/>
    <n v="0"/>
    <n v="0"/>
    <n v="0"/>
    <n v="0"/>
    <n v="0"/>
    <n v="0"/>
    <n v="0"/>
    <n v="0"/>
    <n v="0"/>
    <n v="0"/>
    <n v="0"/>
    <n v="73.8"/>
    <x v="6"/>
    <n v="0"/>
    <n v="0"/>
    <n v="0"/>
  </r>
  <r>
    <x v="7"/>
    <x v="8"/>
    <x v="0"/>
    <x v="0"/>
    <x v="0"/>
    <x v="0"/>
    <x v="0"/>
    <n v="0"/>
    <n v="0"/>
    <n v="0"/>
    <n v="0"/>
    <n v="0"/>
    <n v="0"/>
    <n v="0"/>
    <n v="0"/>
    <n v="0"/>
    <n v="0"/>
    <n v="0"/>
    <n v="55"/>
    <x v="7"/>
    <n v="0"/>
    <n v="0"/>
    <n v="0"/>
  </r>
  <r>
    <x v="8"/>
    <x v="9"/>
    <x v="0"/>
    <x v="0"/>
    <x v="0"/>
    <x v="0"/>
    <x v="0"/>
    <n v="0"/>
    <n v="0"/>
    <n v="0"/>
    <n v="0"/>
    <n v="0"/>
    <n v="0"/>
    <n v="0"/>
    <n v="0"/>
    <n v="0"/>
    <n v="0"/>
    <n v="0"/>
    <n v="35.799999999999997"/>
    <x v="7"/>
    <n v="0"/>
    <n v="0"/>
    <n v="0"/>
  </r>
  <r>
    <x v="9"/>
    <x v="10"/>
    <x v="0"/>
    <x v="0"/>
    <x v="0"/>
    <x v="0"/>
    <x v="0"/>
    <n v="0"/>
    <n v="0"/>
    <n v="0"/>
    <n v="0"/>
    <n v="0"/>
    <n v="0"/>
    <n v="0"/>
    <n v="0"/>
    <n v="0"/>
    <n v="0"/>
    <n v="0"/>
    <n v="50"/>
    <x v="8"/>
    <n v="0"/>
    <n v="0"/>
    <n v="0"/>
  </r>
  <r>
    <x v="10"/>
    <x v="11"/>
    <x v="0"/>
    <x v="0"/>
    <x v="0"/>
    <x v="2"/>
    <x v="0"/>
    <n v="4"/>
    <n v="0"/>
    <n v="0"/>
    <n v="0"/>
    <n v="0"/>
    <n v="0"/>
    <n v="0"/>
    <n v="560"/>
    <n v="640"/>
    <n v="0"/>
    <n v="0"/>
    <n v="140"/>
    <x v="9"/>
    <n v="560"/>
    <n v="640"/>
    <n v="80"/>
  </r>
  <r>
    <x v="11"/>
    <x v="12"/>
    <x v="0"/>
    <x v="0"/>
    <x v="0"/>
    <x v="0"/>
    <x v="0"/>
    <n v="0"/>
    <n v="0"/>
    <n v="0"/>
    <n v="0"/>
    <n v="0"/>
    <n v="0"/>
    <n v="0"/>
    <n v="0"/>
    <n v="0"/>
    <n v="0"/>
    <n v="0"/>
    <n v="120"/>
    <x v="10"/>
    <n v="0"/>
    <n v="0"/>
    <n v="0"/>
  </r>
  <r>
    <x v="12"/>
    <x v="13"/>
    <x v="0"/>
    <x v="0"/>
    <x v="0"/>
    <x v="0"/>
    <x v="0"/>
    <n v="0"/>
    <n v="0"/>
    <n v="0"/>
    <n v="0"/>
    <n v="0"/>
    <n v="0"/>
    <n v="0"/>
    <n v="0"/>
    <n v="0"/>
    <n v="0"/>
    <n v="0"/>
    <n v="89"/>
    <x v="10"/>
    <n v="0"/>
    <n v="0"/>
    <n v="0"/>
  </r>
  <r>
    <x v="13"/>
    <x v="14"/>
    <x v="0"/>
    <x v="0"/>
    <x v="0"/>
    <x v="0"/>
    <x v="0"/>
    <n v="0"/>
    <n v="0"/>
    <n v="0"/>
    <n v="0"/>
    <n v="0"/>
    <n v="0"/>
    <n v="0"/>
    <n v="0"/>
    <n v="0"/>
    <n v="0"/>
    <n v="0"/>
    <n v="80"/>
    <x v="11"/>
    <n v="0"/>
    <n v="0"/>
    <n v="0"/>
  </r>
  <r>
    <x v="14"/>
    <x v="15"/>
    <x v="2"/>
    <x v="0"/>
    <x v="0"/>
    <x v="0"/>
    <x v="0"/>
    <n v="6"/>
    <n v="540"/>
    <n v="870"/>
    <n v="0"/>
    <n v="0"/>
    <n v="0"/>
    <n v="0"/>
    <n v="0"/>
    <n v="0"/>
    <n v="0"/>
    <n v="0"/>
    <n v="90"/>
    <x v="12"/>
    <n v="540"/>
    <n v="870"/>
    <n v="330"/>
  </r>
  <r>
    <x v="15"/>
    <x v="16"/>
    <x v="3"/>
    <x v="3"/>
    <x v="2"/>
    <x v="0"/>
    <x v="2"/>
    <n v="13"/>
    <n v="300"/>
    <n v="520"/>
    <n v="187.5"/>
    <n v="325"/>
    <n v="112.5"/>
    <n v="195"/>
    <n v="0"/>
    <n v="0"/>
    <n v="375"/>
    <n v="650"/>
    <n v="75"/>
    <x v="13"/>
    <n v="975"/>
    <n v="1690"/>
    <n v="715"/>
  </r>
  <r>
    <x v="16"/>
    <x v="17"/>
    <x v="4"/>
    <x v="4"/>
    <x v="3"/>
    <x v="1"/>
    <x v="2"/>
    <n v="31"/>
    <n v="320.39999999999998"/>
    <n v="456"/>
    <n v="133.5"/>
    <n v="190"/>
    <n v="106.8"/>
    <n v="152"/>
    <n v="133.5"/>
    <n v="190"/>
    <n v="133.5"/>
    <n v="190"/>
    <n v="26.7"/>
    <x v="14"/>
    <n v="827.69999999999993"/>
    <n v="1178"/>
    <n v="350.30000000000007"/>
  </r>
  <r>
    <x v="17"/>
    <x v="18"/>
    <x v="0"/>
    <x v="0"/>
    <x v="0"/>
    <x v="0"/>
    <x v="0"/>
    <n v="0"/>
    <n v="0"/>
    <n v="0"/>
    <n v="0"/>
    <n v="0"/>
    <n v="0"/>
    <n v="0"/>
    <n v="0"/>
    <n v="0"/>
    <n v="0"/>
    <n v="0"/>
    <n v="80"/>
    <x v="15"/>
    <n v="0"/>
    <n v="0"/>
    <n v="0"/>
  </r>
  <r>
    <x v="18"/>
    <x v="19"/>
    <x v="0"/>
    <x v="0"/>
    <x v="0"/>
    <x v="0"/>
    <x v="0"/>
    <n v="0"/>
    <n v="0"/>
    <n v="0"/>
    <n v="0"/>
    <n v="0"/>
    <n v="0"/>
    <n v="0"/>
    <n v="0"/>
    <n v="0"/>
    <n v="0"/>
    <n v="0"/>
    <n v="60"/>
    <x v="10"/>
    <n v="0"/>
    <n v="0"/>
    <n v="0"/>
  </r>
  <r>
    <x v="19"/>
    <x v="20"/>
    <x v="0"/>
    <x v="0"/>
    <x v="0"/>
    <x v="0"/>
    <x v="0"/>
    <n v="0"/>
    <n v="0"/>
    <n v="0"/>
    <n v="0"/>
    <n v="0"/>
    <n v="0"/>
    <n v="0"/>
    <n v="0"/>
    <n v="0"/>
    <n v="0"/>
    <n v="0"/>
    <n v="60"/>
    <x v="11"/>
    <n v="0"/>
    <n v="0"/>
    <n v="0"/>
  </r>
  <r>
    <x v="20"/>
    <x v="21"/>
    <x v="0"/>
    <x v="0"/>
    <x v="0"/>
    <x v="0"/>
    <x v="0"/>
    <n v="0"/>
    <n v="0"/>
    <n v="0"/>
    <n v="0"/>
    <n v="0"/>
    <n v="0"/>
    <n v="0"/>
    <n v="0"/>
    <n v="0"/>
    <n v="0"/>
    <n v="0"/>
    <n v="28"/>
    <x v="16"/>
    <n v="0"/>
    <n v="0"/>
    <n v="0"/>
  </r>
  <r>
    <x v="21"/>
    <x v="22"/>
    <x v="0"/>
    <x v="0"/>
    <x v="0"/>
    <x v="0"/>
    <x v="0"/>
    <n v="0"/>
    <n v="0"/>
    <n v="0"/>
    <n v="0"/>
    <n v="0"/>
    <n v="0"/>
    <n v="0"/>
    <n v="0"/>
    <n v="0"/>
    <n v="0"/>
    <n v="0"/>
    <n v="32"/>
    <x v="16"/>
    <n v="0"/>
    <n v="0"/>
    <n v="0"/>
  </r>
  <r>
    <x v="22"/>
    <x v="23"/>
    <x v="0"/>
    <x v="0"/>
    <x v="0"/>
    <x v="0"/>
    <x v="0"/>
    <n v="0"/>
    <n v="0"/>
    <n v="0"/>
    <n v="0"/>
    <n v="0"/>
    <n v="0"/>
    <n v="0"/>
    <n v="0"/>
    <n v="0"/>
    <n v="0"/>
    <n v="0"/>
    <n v="38"/>
    <x v="8"/>
    <n v="0"/>
    <n v="0"/>
    <n v="0"/>
  </r>
  <r>
    <x v="23"/>
    <x v="24"/>
    <x v="0"/>
    <x v="0"/>
    <x v="0"/>
    <x v="0"/>
    <x v="0"/>
    <n v="0"/>
    <n v="0"/>
    <n v="0"/>
    <n v="0"/>
    <n v="0"/>
    <n v="0"/>
    <n v="0"/>
    <n v="0"/>
    <n v="0"/>
    <n v="0"/>
    <n v="0"/>
    <n v="90"/>
    <x v="11"/>
    <n v="0"/>
    <n v="0"/>
    <n v="0"/>
  </r>
  <r>
    <x v="24"/>
    <x v="25"/>
    <x v="5"/>
    <x v="5"/>
    <x v="4"/>
    <x v="3"/>
    <x v="3"/>
    <n v="89"/>
    <n v="1898.4"/>
    <n v="3346"/>
    <n v="1359"/>
    <n v="2585"/>
    <n v="403.8"/>
    <n v="722"/>
    <n v="1062.5"/>
    <n v="1580"/>
    <n v="619.20000000000005"/>
    <n v="1065"/>
    <m/>
    <x v="17"/>
    <n v="5342.9000000000005"/>
    <n v="9298"/>
    <n v="3955.099999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9" cacheId="6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1:F23" firstHeaderRow="2" firstDataRow="2" firstDataCol="4"/>
  <pivotFields count="29">
    <pivotField axis="axisRow" compact="0" outline="0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5"/>
        <item h="1"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axis="axisRow" compact="0" outline="0" showAll="0" defaultSubtotal="0">
      <items count="182">
        <item h="1" x="0"/>
        <item m="1" x="166"/>
        <item m="1" x="118"/>
        <item m="1" x="172"/>
        <item m="1" x="38"/>
        <item m="1" x="159"/>
        <item m="1" x="177"/>
        <item m="1" x="116"/>
        <item m="1" x="181"/>
        <item h="1" x="12"/>
        <item m="1" x="30"/>
        <item m="1" x="66"/>
        <item x="5"/>
        <item m="1" x="58"/>
        <item m="1" x="75"/>
        <item m="1" x="91"/>
        <item m="1" x="126"/>
        <item m="1" x="35"/>
        <item m="1" x="180"/>
        <item m="1" x="72"/>
        <item m="1" x="139"/>
        <item m="1" x="23"/>
        <item m="1" x="136"/>
        <item m="1" x="169"/>
        <item m="1" x="57"/>
        <item m="1" x="63"/>
        <item m="1" x="106"/>
        <item m="1" x="167"/>
        <item m="1" x="146"/>
        <item m="1" x="70"/>
        <item m="1" x="154"/>
        <item m="1" x="165"/>
        <item m="1" x="86"/>
        <item m="1" x="111"/>
        <item m="1" x="147"/>
        <item m="1" x="114"/>
        <item m="1" x="29"/>
        <item m="1" x="62"/>
        <item m="1" x="83"/>
        <item m="1" x="31"/>
        <item m="1" x="26"/>
        <item m="1" x="67"/>
        <item m="1" x="171"/>
        <item m="1" x="19"/>
        <item m="1" x="15"/>
        <item m="1" x="16"/>
        <item m="1" x="33"/>
        <item m="1" x="131"/>
        <item m="1" x="121"/>
        <item m="1" x="174"/>
        <item m="1" x="113"/>
        <item m="1" x="60"/>
        <item m="1" x="138"/>
        <item m="1" x="78"/>
        <item m="1" x="81"/>
        <item m="1" x="127"/>
        <item m="1" x="68"/>
        <item m="1" x="97"/>
        <item m="1" x="105"/>
        <item m="1" x="102"/>
        <item m="1" x="143"/>
        <item m="1" x="76"/>
        <item m="1" x="117"/>
        <item m="1" x="119"/>
        <item m="1" x="101"/>
        <item m="1" x="107"/>
        <item m="1" x="25"/>
        <item m="1" x="149"/>
        <item m="1" x="162"/>
        <item m="1" x="36"/>
        <item m="1" x="44"/>
        <item m="1" x="145"/>
        <item m="1" x="80"/>
        <item m="1" x="37"/>
        <item m="1" x="163"/>
        <item m="1" x="82"/>
        <item m="1" x="40"/>
        <item m="1" x="104"/>
        <item m="1" x="41"/>
        <item m="1" x="89"/>
        <item m="1" x="79"/>
        <item m="1" x="34"/>
        <item m="1" x="133"/>
        <item m="1" x="56"/>
        <item m="1" x="144"/>
        <item m="1" x="84"/>
        <item m="1" x="96"/>
        <item m="1" x="99"/>
        <item m="1" x="61"/>
        <item m="1" x="110"/>
        <item m="1" x="103"/>
        <item m="1" x="87"/>
        <item m="1" x="168"/>
        <item m="1" x="55"/>
        <item m="1" x="53"/>
        <item m="1" x="109"/>
        <item m="1" x="50"/>
        <item m="1" x="47"/>
        <item m="1" x="150"/>
        <item m="1" x="65"/>
        <item m="1" x="151"/>
        <item m="1" x="123"/>
        <item m="1" x="173"/>
        <item m="1" x="74"/>
        <item m="1" x="59"/>
        <item m="1" x="17"/>
        <item m="1" x="158"/>
        <item m="1" x="69"/>
        <item m="1" x="170"/>
        <item m="1" x="98"/>
        <item m="1" x="77"/>
        <item m="1" x="45"/>
        <item m="1" x="28"/>
        <item m="1" x="52"/>
        <item m="1" x="156"/>
        <item m="1" x="175"/>
        <item m="1" x="18"/>
        <item m="1" x="14"/>
        <item m="1" x="95"/>
        <item m="1" x="164"/>
        <item m="1" x="54"/>
        <item m="1" x="128"/>
        <item m="1" x="64"/>
        <item m="1" x="125"/>
        <item m="1" x="73"/>
        <item m="1" x="90"/>
        <item m="1" x="49"/>
        <item m="1" x="20"/>
        <item m="1" x="122"/>
        <item m="1" x="153"/>
        <item m="1" x="32"/>
        <item m="1" x="93"/>
        <item m="1" x="100"/>
        <item m="1" x="85"/>
        <item m="1" x="141"/>
        <item m="1" x="132"/>
        <item m="1" x="135"/>
        <item m="1" x="88"/>
        <item m="1" x="179"/>
        <item m="1" x="178"/>
        <item m="1" x="130"/>
        <item m="1" x="134"/>
        <item m="1" x="43"/>
        <item m="1" x="22"/>
        <item m="1" x="46"/>
        <item m="1" x="51"/>
        <item m="1" x="137"/>
        <item m="1" x="48"/>
        <item m="1" x="108"/>
        <item m="1" x="120"/>
        <item m="1" x="39"/>
        <item m="1" x="24"/>
        <item m="1" x="92"/>
        <item m="1" x="94"/>
        <item m="1" x="124"/>
        <item m="1" x="155"/>
        <item m="1" x="42"/>
        <item m="1" x="148"/>
        <item m="1" x="176"/>
        <item m="1" x="129"/>
        <item m="1" x="27"/>
        <item m="1" x="13"/>
        <item m="1" x="161"/>
        <item m="1" x="160"/>
        <item m="1" x="142"/>
        <item m="1" x="21"/>
        <item m="1" x="112"/>
        <item x="2"/>
        <item m="1" x="71"/>
        <item m="1" x="152"/>
        <item m="1" x="115"/>
        <item m="1" x="157"/>
        <item m="1" x="140"/>
        <item x="1"/>
        <item x="3"/>
        <item x="4"/>
        <item x="6"/>
        <item x="7"/>
        <item x="8"/>
        <item x="9"/>
        <item x="10"/>
        <item x="1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name="C. Unit."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2"/>
    <field x="1"/>
    <field x="25"/>
  </rowFields>
  <rowItems count="11">
    <i>
      <x v="6"/>
      <x v="173"/>
      <x v="14"/>
      <x v="41"/>
    </i>
    <i>
      <x v="7"/>
      <x v="167"/>
      <x v="12"/>
      <x v="41"/>
    </i>
    <i>
      <x v="9"/>
      <x v="174"/>
      <x v="27"/>
      <x v="11"/>
    </i>
    <i>
      <x v="14"/>
      <x v="175"/>
      <x v="4"/>
      <x v="34"/>
    </i>
    <i>
      <x v="15"/>
      <x v="12"/>
      <x v="19"/>
      <x v="43"/>
    </i>
    <i>
      <x v="16"/>
      <x v="176"/>
      <x v="20"/>
      <x v="18"/>
    </i>
    <i>
      <x v="17"/>
      <x v="177"/>
      <x v="5"/>
      <x v="4"/>
    </i>
    <i>
      <x v="19"/>
      <x v="178"/>
      <x v="7"/>
      <x v="17"/>
    </i>
    <i>
      <x v="20"/>
      <x v="179"/>
      <x v="8"/>
      <x v="34"/>
    </i>
    <i>
      <x v="23"/>
      <x v="180"/>
      <x v="22"/>
      <x v="7"/>
    </i>
    <i t="grand">
      <x/>
    </i>
  </rowItems>
  <colItems count="1">
    <i/>
  </colItems>
  <dataFields count="1">
    <dataField name="Suma de Nota Martes" fld="11" baseField="0" baseItem="0" numFmtId="164"/>
  </dataFields>
  <formats count="7">
    <format dxfId="777">
      <pivotArea outline="0" collapsedLevelsAreSubtotals="1" fieldPosition="0"/>
    </format>
    <format dxfId="776">
      <pivotArea type="topRight" dataOnly="0" labelOnly="1" outline="0" fieldPosition="0"/>
    </format>
    <format dxfId="775">
      <pivotArea field="0" type="button" dataOnly="0" labelOnly="1" outline="0" axis="axisRow" fieldPosition="0"/>
    </format>
    <format dxfId="774">
      <pivotArea dataOnly="0" labelOnly="1" outline="0" fieldPosition="0">
        <references count="1">
          <reference field="0" count="0"/>
        </references>
      </pivotArea>
    </format>
    <format dxfId="773">
      <pivotArea type="origin" dataOnly="0" labelOnly="1" outline="0" fieldPosition="0"/>
    </format>
    <format dxfId="772">
      <pivotArea dataOnly="0" labelOnly="1" grandRow="1" outline="0" fieldPosition="0"/>
    </format>
    <format dxfId="77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9" cacheId="6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1:F19" firstHeaderRow="2" firstDataRow="2" firstDataCol="4"/>
  <pivotFields count="29">
    <pivotField axis="axisRow" compact="0" outline="0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compact="0" outline="0" showAll="0" defaultSubtotal="0"/>
    <pivotField axis="axisRow" compact="0" outline="0" showAll="0" defaultSubtotal="0">
      <items count="173">
        <item h="1" x="0"/>
        <item m="1" x="59"/>
        <item m="1" x="62"/>
        <item m="1" x="91"/>
        <item m="1" x="10"/>
        <item m="1" x="63"/>
        <item m="1" x="76"/>
        <item m="1" x="58"/>
        <item h="1" x="7"/>
        <item x="4"/>
        <item m="1" x="156"/>
        <item m="1" x="15"/>
        <item m="1" x="25"/>
        <item m="1" x="65"/>
        <item m="1" x="8"/>
        <item m="1" x="103"/>
        <item m="1" x="49"/>
        <item m="1" x="130"/>
        <item m="1" x="114"/>
        <item m="1" x="56"/>
        <item m="1" x="80"/>
        <item m="1" x="26"/>
        <item m="1" x="104"/>
        <item m="1" x="73"/>
        <item m="1" x="120"/>
        <item m="1" x="117"/>
        <item m="1" x="24"/>
        <item m="1" x="109"/>
        <item m="1" x="125"/>
        <item m="1" x="72"/>
        <item m="1" x="23"/>
        <item m="1" x="69"/>
        <item m="1" x="11"/>
        <item m="1" x="31"/>
        <item m="1" x="127"/>
        <item m="1" x="113"/>
        <item m="1" x="29"/>
        <item m="1" x="165"/>
        <item m="1" x="151"/>
        <item m="1" x="142"/>
        <item m="1" x="129"/>
        <item m="1" x="77"/>
        <item m="1" x="119"/>
        <item m="1" x="147"/>
        <item m="1" x="67"/>
        <item m="1" x="92"/>
        <item m="1" x="99"/>
        <item m="1" x="101"/>
        <item m="1" x="70"/>
        <item m="1" x="107"/>
        <item m="1" x="110"/>
        <item m="1" x="100"/>
        <item m="1" x="20"/>
        <item m="1" x="141"/>
        <item m="1" x="155"/>
        <item m="1" x="30"/>
        <item m="1" x="158"/>
        <item m="1" x="39"/>
        <item m="1" x="136"/>
        <item m="1" x="105"/>
        <item m="1" x="32"/>
        <item m="1" x="131"/>
        <item m="1" x="126"/>
        <item m="1" x="66"/>
        <item m="1" x="68"/>
        <item m="1" x="90"/>
        <item m="1" x="79"/>
        <item m="1" x="35"/>
        <item m="1" x="98"/>
        <item m="1" x="36"/>
        <item m="1" x="87"/>
        <item m="1" x="34"/>
        <item m="1" x="75"/>
        <item m="1" x="28"/>
        <item m="1" x="123"/>
        <item m="1" x="160"/>
        <item m="1" x="163"/>
        <item m="1" x="51"/>
        <item m="1" x="135"/>
        <item m="1" x="82"/>
        <item m="1" x="97"/>
        <item m="1" x="86"/>
        <item m="1" x="159"/>
        <item m="1" x="124"/>
        <item m="1" x="53"/>
        <item m="1" x="40"/>
        <item m="1" x="57"/>
        <item m="1" x="41"/>
        <item m="1" x="118"/>
        <item m="1" x="42"/>
        <item m="1" x="108"/>
        <item m="1" x="88"/>
        <item m="1" x="50"/>
        <item m="1" x="143"/>
        <item m="1" x="106"/>
        <item m="1" x="122"/>
        <item m="1" x="145"/>
        <item m="1" x="150"/>
        <item m="1" x="9"/>
        <item m="1" x="138"/>
        <item m="1" x="14"/>
        <item m="1" x="133"/>
        <item m="1" x="162"/>
        <item m="1" x="171"/>
        <item m="1" x="153"/>
        <item m="1" x="157"/>
        <item m="1" x="54"/>
        <item m="1" x="137"/>
        <item m="1" x="140"/>
        <item m="1" x="95"/>
        <item m="1" x="84"/>
        <item m="1" x="116"/>
        <item m="1" x="166"/>
        <item m="1" x="46"/>
        <item m="1" x="144"/>
        <item m="1" x="146"/>
        <item m="1" x="52"/>
        <item m="1" x="55"/>
        <item m="1" x="60"/>
        <item m="1" x="169"/>
        <item m="1" x="94"/>
        <item m="1" x="168"/>
        <item m="1" x="134"/>
        <item m="1" x="102"/>
        <item m="1" x="38"/>
        <item m="1" x="16"/>
        <item m="1" x="85"/>
        <item m="1" x="47"/>
        <item m="1" x="44"/>
        <item m="1" x="128"/>
        <item m="1" x="111"/>
        <item m="1" x="139"/>
        <item m="1" x="19"/>
        <item m="1" x="12"/>
        <item m="1" x="115"/>
        <item m="1" x="148"/>
        <item m="1" x="164"/>
        <item m="1" x="172"/>
        <item m="1" x="74"/>
        <item m="1" x="61"/>
        <item m="1" x="167"/>
        <item m="1" x="121"/>
        <item m="1" x="22"/>
        <item m="1" x="37"/>
        <item m="1" x="154"/>
        <item m="1" x="13"/>
        <item m="1" x="18"/>
        <item m="1" x="170"/>
        <item m="1" x="27"/>
        <item m="1" x="71"/>
        <item m="1" x="149"/>
        <item m="1" x="21"/>
        <item m="1" x="43"/>
        <item m="1" x="112"/>
        <item m="1" x="89"/>
        <item m="1" x="96"/>
        <item m="1" x="81"/>
        <item m="1" x="17"/>
        <item m="1" x="48"/>
        <item m="1" x="78"/>
        <item m="1" x="161"/>
        <item m="1" x="152"/>
        <item m="1" x="64"/>
        <item m="1" x="45"/>
        <item m="1" x="132"/>
        <item m="1" x="93"/>
        <item m="1" x="83"/>
        <item m="1" x="33"/>
        <item x="1"/>
        <item x="2"/>
        <item x="3"/>
        <item x="5"/>
        <item x="6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name="C. Unit."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3"/>
    <field x="1"/>
    <field x="25"/>
  </rowFields>
  <rowItems count="7">
    <i>
      <x v="6"/>
      <x v="168"/>
      <x v="14"/>
      <x v="41"/>
    </i>
    <i>
      <x v="7"/>
      <x v="169"/>
      <x v="12"/>
      <x v="41"/>
    </i>
    <i>
      <x v="9"/>
      <x v="170"/>
      <x v="27"/>
      <x v="11"/>
    </i>
    <i>
      <x v="11"/>
      <x v="9"/>
      <x/>
      <x v="42"/>
    </i>
    <i>
      <x v="16"/>
      <x v="171"/>
      <x v="20"/>
      <x v="18"/>
    </i>
    <i>
      <x v="17"/>
      <x v="172"/>
      <x v="5"/>
      <x v="4"/>
    </i>
    <i t="grand">
      <x/>
    </i>
  </rowItems>
  <colItems count="1">
    <i/>
  </colItems>
  <dataFields count="1">
    <dataField name="Suma de Nota Miercoles" fld="13" baseField="0" baseItem="0"/>
  </dataFields>
  <formats count="7">
    <format dxfId="770">
      <pivotArea outline="0" collapsedLevelsAreSubtotals="1" fieldPosition="0"/>
    </format>
    <format dxfId="769">
      <pivotArea type="topRight" dataOnly="0" labelOnly="1" outline="0" fieldPosition="0"/>
    </format>
    <format dxfId="768">
      <pivotArea field="0" type="button" dataOnly="0" labelOnly="1" outline="0" axis="axisRow" fieldPosition="0"/>
    </format>
    <format dxfId="767">
      <pivotArea dataOnly="0" labelOnly="1" outline="0" fieldPosition="0">
        <references count="1">
          <reference field="0" count="0"/>
        </references>
      </pivotArea>
    </format>
    <format dxfId="766">
      <pivotArea type="origin" dataOnly="0" labelOnly="1" outline="0" fieldPosition="0"/>
    </format>
    <format dxfId="765">
      <pivotArea dataOnly="0" labelOnly="1" grandRow="1" outline="0" fieldPosition="0"/>
    </format>
    <format dxfId="764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Dinámica9" cacheId="6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1:F22" firstHeaderRow="2" firstDataRow="2" firstDataCol="4"/>
  <pivotFields count="29">
    <pivotField axis="axisRow" compact="0" outline="0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compact="0" outline="0" showAll="0" defaultSubtotal="0"/>
    <pivotField compact="0" outline="0" showAll="0"/>
    <pivotField axis="axisRow" compact="0" outline="0" showAll="0" defaultSubtotal="0">
      <items count="181">
        <item h="1" x="0"/>
        <item m="1" x="59"/>
        <item m="1" x="142"/>
        <item m="1" x="177"/>
        <item m="1" x="63"/>
        <item m="1" x="131"/>
        <item m="1" x="96"/>
        <item h="1" x="10"/>
        <item m="1" x="35"/>
        <item m="1" x="70"/>
        <item m="1" x="126"/>
        <item m="1" x="98"/>
        <item m="1" x="48"/>
        <item m="1" x="41"/>
        <item m="1" x="16"/>
        <item m="1" x="20"/>
        <item m="1" x="129"/>
        <item x="7"/>
        <item m="1" x="65"/>
        <item m="1" x="166"/>
        <item m="1" x="174"/>
        <item m="1" x="157"/>
        <item m="1" x="149"/>
        <item m="1" x="132"/>
        <item m="1" x="72"/>
        <item m="1" x="128"/>
        <item m="1" x="29"/>
        <item m="1" x="77"/>
        <item m="1" x="121"/>
        <item x="9"/>
        <item m="1" x="150"/>
        <item m="1" x="78"/>
        <item m="1" x="79"/>
        <item m="1" x="92"/>
        <item m="1" x="107"/>
        <item m="1" x="100"/>
        <item m="1" x="133"/>
        <item m="1" x="56"/>
        <item m="1" x="171"/>
        <item m="1" x="168"/>
        <item m="1" x="138"/>
        <item m="1" x="139"/>
        <item m="1" x="69"/>
        <item m="1" x="33"/>
        <item m="1" x="110"/>
        <item m="1" x="112"/>
        <item m="1" x="99"/>
        <item m="1" x="103"/>
        <item m="1" x="23"/>
        <item m="1" x="145"/>
        <item m="1" x="162"/>
        <item m="1" x="34"/>
        <item m="1" x="116"/>
        <item m="1" x="141"/>
        <item m="1" x="108"/>
        <item m="1" x="76"/>
        <item m="1" x="30"/>
        <item m="1" x="127"/>
        <item m="1" x="67"/>
        <item m="1" x="86"/>
        <item x="3"/>
        <item m="1" x="37"/>
        <item m="1" x="101"/>
        <item m="1" x="38"/>
        <item m="1" x="84"/>
        <item m="1" x="36"/>
        <item m="1" x="13"/>
        <item m="1" x="75"/>
        <item m="1" x="68"/>
        <item m="1" x="32"/>
        <item m="1" x="125"/>
        <item m="1" x="115"/>
        <item m="1" x="172"/>
        <item m="1" x="49"/>
        <item m="1" x="140"/>
        <item m="1" x="81"/>
        <item m="1" x="135"/>
        <item m="1" x="90"/>
        <item m="1" x="50"/>
        <item m="1" x="95"/>
        <item m="1" x="55"/>
        <item m="1" x="106"/>
        <item m="1" x="163"/>
        <item m="1" x="165"/>
        <item m="1" x="83"/>
        <item m="1" x="170"/>
        <item m="1" x="28"/>
        <item m="1" x="51"/>
        <item m="1" x="40"/>
        <item m="1" x="58"/>
        <item m="1" x="120"/>
        <item m="1" x="42"/>
        <item m="1" x="111"/>
        <item m="1" x="85"/>
        <item x="8"/>
        <item m="1" x="146"/>
        <item m="1" x="109"/>
        <item m="1" x="124"/>
        <item m="1" x="148"/>
        <item m="1" x="117"/>
        <item m="1" x="173"/>
        <item m="1" x="169"/>
        <item m="1" x="52"/>
        <item m="1" x="18"/>
        <item m="1" x="156"/>
        <item m="1" x="102"/>
        <item m="1" x="64"/>
        <item m="1" x="82"/>
        <item m="1" x="123"/>
        <item m="1" x="54"/>
        <item m="1" x="167"/>
        <item m="1" x="93"/>
        <item x="4"/>
        <item m="1" x="27"/>
        <item m="1" x="25"/>
        <item m="1" x="39"/>
        <item m="1" x="15"/>
        <item m="1" x="80"/>
        <item m="1" x="24"/>
        <item m="1" x="46"/>
        <item m="1" x="105"/>
        <item m="1" x="122"/>
        <item m="1" x="66"/>
        <item m="1" x="151"/>
        <item m="1" x="94"/>
        <item m="1" x="113"/>
        <item m="1" x="119"/>
        <item m="1" x="74"/>
        <item m="1" x="44"/>
        <item m="1" x="147"/>
        <item m="1" x="136"/>
        <item m="1" x="130"/>
        <item m="1" x="57"/>
        <item m="1" x="178"/>
        <item m="1" x="71"/>
        <item m="1" x="60"/>
        <item m="1" x="14"/>
        <item m="1" x="114"/>
        <item m="1" x="143"/>
        <item m="1" x="22"/>
        <item m="1" x="87"/>
        <item m="1" x="88"/>
        <item m="1" x="118"/>
        <item m="1" x="152"/>
        <item m="1" x="43"/>
        <item m="1" x="61"/>
        <item m="1" x="73"/>
        <item m="1" x="144"/>
        <item m="1" x="176"/>
        <item m="1" x="11"/>
        <item m="1" x="161"/>
        <item m="1" x="17"/>
        <item m="1" x="158"/>
        <item m="1" x="137"/>
        <item m="1" x="19"/>
        <item m="1" x="21"/>
        <item m="1" x="180"/>
        <item m="1" x="31"/>
        <item m="1" x="26"/>
        <item m="1" x="45"/>
        <item m="1" x="154"/>
        <item m="1" x="62"/>
        <item m="1" x="175"/>
        <item m="1" x="12"/>
        <item m="1" x="160"/>
        <item m="1" x="89"/>
        <item m="1" x="164"/>
        <item m="1" x="47"/>
        <item m="1" x="134"/>
        <item m="1" x="104"/>
        <item m="1" x="179"/>
        <item m="1" x="91"/>
        <item m="1" x="159"/>
        <item x="2"/>
        <item m="1" x="155"/>
        <item m="1" x="153"/>
        <item m="1" x="97"/>
        <item m="1" x="53"/>
        <item x="1"/>
        <item x="5"/>
        <item x="6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name="C. Unit."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4"/>
    <field x="1"/>
    <field x="25"/>
  </rowFields>
  <rowItems count="10">
    <i>
      <x v="2"/>
      <x v="178"/>
      <x v="15"/>
      <x v="40"/>
    </i>
    <i>
      <x v="6"/>
      <x v="173"/>
      <x v="14"/>
      <x v="41"/>
    </i>
    <i>
      <x v="7"/>
      <x v="60"/>
      <x v="12"/>
      <x v="41"/>
    </i>
    <i>
      <x v="11"/>
      <x v="112"/>
      <x/>
      <x v="42"/>
    </i>
    <i>
      <x v="16"/>
      <x v="179"/>
      <x v="20"/>
      <x v="18"/>
    </i>
    <i>
      <x v="17"/>
      <x v="180"/>
      <x v="5"/>
      <x v="4"/>
    </i>
    <i>
      <x v="22"/>
      <x v="17"/>
      <x v="21"/>
      <x v="27"/>
    </i>
    <i>
      <x v="23"/>
      <x v="94"/>
      <x v="22"/>
      <x v="7"/>
    </i>
    <i>
      <x v="25"/>
      <x v="29"/>
      <x v="23"/>
      <x v="34"/>
    </i>
    <i t="grand">
      <x/>
    </i>
  </rowItems>
  <colItems count="1">
    <i/>
  </colItems>
  <dataFields count="1">
    <dataField name="Suma de Nota Jueves" fld="15" baseField="0" baseItem="0"/>
  </dataFields>
  <formats count="7">
    <format dxfId="763">
      <pivotArea outline="0" collapsedLevelsAreSubtotals="1" fieldPosition="0"/>
    </format>
    <format dxfId="762">
      <pivotArea type="topRight" dataOnly="0" labelOnly="1" outline="0" fieldPosition="0"/>
    </format>
    <format dxfId="761">
      <pivotArea field="0" type="button" dataOnly="0" labelOnly="1" outline="0" axis="axisRow" fieldPosition="0"/>
    </format>
    <format dxfId="760">
      <pivotArea dataOnly="0" labelOnly="1" outline="0" fieldPosition="0">
        <references count="1">
          <reference field="0" count="0"/>
        </references>
      </pivotArea>
    </format>
    <format dxfId="759">
      <pivotArea type="origin" dataOnly="0" labelOnly="1" outline="0" fieldPosition="0"/>
    </format>
    <format dxfId="758">
      <pivotArea dataOnly="0" labelOnly="1" grandRow="1" outline="0" fieldPosition="0"/>
    </format>
    <format dxfId="757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Dinámica9" cacheId="6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1:F21" firstHeaderRow="2" firstDataRow="2" firstDataCol="4"/>
  <pivotFields count="29">
    <pivotField axis="axisRow" compact="0" outline="0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compact="0" outline="0" showAll="0" defaultSubtotal="0"/>
    <pivotField compact="0" outline="0" showAll="0"/>
    <pivotField compact="0" outline="0" showAll="0"/>
    <pivotField axis="axisRow" compact="0" outline="0" showAll="0" defaultSubtotal="0">
      <items count="186">
        <item h="1" x="0"/>
        <item m="1" x="169"/>
        <item m="1" x="119"/>
        <item m="1" x="39"/>
        <item m="1" x="105"/>
        <item m="1" x="134"/>
        <item m="1" x="19"/>
        <item m="1" x="54"/>
        <item h="1" x="9"/>
        <item m="1" x="37"/>
        <item m="1" x="31"/>
        <item m="1" x="36"/>
        <item m="1" x="66"/>
        <item m="1" x="178"/>
        <item m="1" x="162"/>
        <item m="1" x="138"/>
        <item m="1" x="168"/>
        <item m="1" x="144"/>
        <item m="1" x="76"/>
        <item m="1" x="35"/>
        <item m="1" x="116"/>
        <item m="1" x="120"/>
        <item m="1" x="114"/>
        <item m="1" x="25"/>
        <item m="1" x="150"/>
        <item m="1" x="164"/>
        <item m="1" x="112"/>
        <item m="1" x="86"/>
        <item m="1" x="82"/>
        <item m="1" x="73"/>
        <item m="1" x="129"/>
        <item m="1" x="145"/>
        <item m="1" x="174"/>
        <item m="1" x="84"/>
        <item m="1" x="32"/>
        <item m="1" x="38"/>
        <item m="1" x="160"/>
        <item m="1" x="173"/>
        <item m="1" x="79"/>
        <item m="1" x="140"/>
        <item m="1" x="166"/>
        <item m="1" x="135"/>
        <item m="1" x="136"/>
        <item m="1" x="74"/>
        <item m="1" x="77"/>
        <item m="1" x="95"/>
        <item m="1" x="111"/>
        <item m="1" x="87"/>
        <item m="1" x="41"/>
        <item m="1" x="103"/>
        <item m="1" x="42"/>
        <item m="1" x="93"/>
        <item m="1" x="113"/>
        <item m="1" x="14"/>
        <item m="1" x="176"/>
        <item m="1" x="34"/>
        <item m="1" x="13"/>
        <item x="1"/>
        <item m="1" x="62"/>
        <item m="1" x="109"/>
        <item m="1" x="100"/>
        <item m="1" x="102"/>
        <item m="1" x="92"/>
        <item m="1" x="172"/>
        <item m="1" x="30"/>
        <item m="1" x="60"/>
        <item m="1" x="46"/>
        <item m="1" x="65"/>
        <item m="1" x="47"/>
        <item m="1" x="130"/>
        <item m="1" x="48"/>
        <item m="1" x="117"/>
        <item m="1" x="94"/>
        <item m="1" x="69"/>
        <item m="1" x="57"/>
        <item m="1" x="153"/>
        <item m="1" x="115"/>
        <item m="1" x="133"/>
        <item m="1" x="154"/>
        <item m="1" x="127"/>
        <item m="1" x="18"/>
        <item m="1" x="171"/>
        <item m="1" x="61"/>
        <item m="1" x="177"/>
        <item m="1" x="158"/>
        <item m="1" x="104"/>
        <item m="1" x="170"/>
        <item m="1" x="147"/>
        <item m="1" x="72"/>
        <item m="1" x="155"/>
        <item m="1" x="91"/>
        <item m="1" x="132"/>
        <item m="1" x="141"/>
        <item m="1" x="175"/>
        <item m="1" x="183"/>
        <item m="1" x="110"/>
        <item m="1" x="29"/>
        <item m="1" x="10"/>
        <item m="1" x="15"/>
        <item m="1" x="33"/>
        <item m="1" x="124"/>
        <item m="1" x="43"/>
        <item m="1" x="98"/>
        <item m="1" x="53"/>
        <item m="1" x="83"/>
        <item m="1" x="63"/>
        <item m="1" x="143"/>
        <item m="1" x="151"/>
        <item m="1" x="71"/>
        <item m="1" x="159"/>
        <item m="1" x="139"/>
        <item m="1" x="75"/>
        <item m="1" x="125"/>
        <item m="1" x="152"/>
        <item m="1" x="80"/>
        <item m="1" x="11"/>
        <item m="1" x="128"/>
        <item m="1" x="89"/>
        <item m="1" x="58"/>
        <item m="1" x="96"/>
        <item m="1" x="70"/>
        <item x="4"/>
        <item m="1" x="64"/>
        <item m="1" x="181"/>
        <item m="1" x="146"/>
        <item m="1" x="85"/>
        <item m="1" x="137"/>
        <item m="1" x="107"/>
        <item m="1" x="108"/>
        <item m="1" x="148"/>
        <item m="1" x="24"/>
        <item m="1" x="16"/>
        <item m="1" x="131"/>
        <item m="1" x="90"/>
        <item m="1" x="23"/>
        <item m="1" x="88"/>
        <item m="1" x="149"/>
        <item m="1" x="180"/>
        <item m="1" x="27"/>
        <item m="1" x="163"/>
        <item m="1" x="17"/>
        <item m="1" x="156"/>
        <item m="1" x="26"/>
        <item m="1" x="59"/>
        <item m="1" x="161"/>
        <item m="1" x="142"/>
        <item m="1" x="20"/>
        <item m="1" x="182"/>
        <item m="1" x="81"/>
        <item m="1" x="50"/>
        <item m="1" x="28"/>
        <item m="1" x="52"/>
        <item m="1" x="157"/>
        <item m="1" x="49"/>
        <item m="1" x="123"/>
        <item m="1" x="179"/>
        <item m="1" x="12"/>
        <item m="1" x="97"/>
        <item m="1" x="167"/>
        <item m="1" x="55"/>
        <item m="1" x="165"/>
        <item m="1" x="45"/>
        <item m="1" x="99"/>
        <item m="1" x="121"/>
        <item m="1" x="21"/>
        <item m="1" x="101"/>
        <item m="1" x="122"/>
        <item m="1" x="51"/>
        <item m="1" x="22"/>
        <item m="1" x="185"/>
        <item m="1" x="44"/>
        <item m="1" x="106"/>
        <item m="1" x="118"/>
        <item m="1" x="40"/>
        <item m="1" x="78"/>
        <item m="1" x="184"/>
        <item x="3"/>
        <item m="1" x="56"/>
        <item m="1" x="126"/>
        <item m="1" x="68"/>
        <item m="1" x="67"/>
        <item x="2"/>
        <item x="5"/>
        <item x="6"/>
        <item x="7"/>
        <item x="8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name="C. Unit."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5"/>
    <field x="1"/>
    <field x="25"/>
  </rowFields>
  <rowItems count="9">
    <i>
      <x v="1"/>
      <x v="57"/>
      <x v="9"/>
      <x v="25"/>
    </i>
    <i>
      <x v="6"/>
      <x v="181"/>
      <x v="14"/>
      <x v="41"/>
    </i>
    <i>
      <x v="7"/>
      <x v="176"/>
      <x v="12"/>
      <x v="41"/>
    </i>
    <i>
      <x v="9"/>
      <x v="121"/>
      <x v="27"/>
      <x v="11"/>
    </i>
    <i>
      <x v="11"/>
      <x v="182"/>
      <x/>
      <x v="42"/>
    </i>
    <i>
      <x v="16"/>
      <x v="183"/>
      <x v="20"/>
      <x v="18"/>
    </i>
    <i>
      <x v="17"/>
      <x v="184"/>
      <x v="5"/>
      <x v="4"/>
    </i>
    <i>
      <x v="19"/>
      <x v="185"/>
      <x v="7"/>
      <x v="17"/>
    </i>
    <i t="grand">
      <x/>
    </i>
  </rowItems>
  <colItems count="1">
    <i/>
  </colItems>
  <dataFields count="1">
    <dataField name="Suma de Nota Viernes" fld="17" baseField="0" baseItem="0"/>
  </dataFields>
  <formats count="7">
    <format dxfId="756">
      <pivotArea outline="0" collapsedLevelsAreSubtotals="1" fieldPosition="0"/>
    </format>
    <format dxfId="755">
      <pivotArea type="topRight" dataOnly="0" labelOnly="1" outline="0" fieldPosition="0"/>
    </format>
    <format dxfId="754">
      <pivotArea field="0" type="button" dataOnly="0" labelOnly="1" outline="0" axis="axisRow" fieldPosition="0"/>
    </format>
    <format dxfId="753">
      <pivotArea dataOnly="0" labelOnly="1" outline="0" fieldPosition="0">
        <references count="1">
          <reference field="0" count="0"/>
        </references>
      </pivotArea>
    </format>
    <format dxfId="752">
      <pivotArea type="origin" dataOnly="0" labelOnly="1" outline="0" fieldPosition="0"/>
    </format>
    <format dxfId="751">
      <pivotArea dataOnly="0" labelOnly="1" grandRow="1" outline="0" fieldPosition="0"/>
    </format>
    <format dxfId="75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Dinámica9" cacheId="6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1:F22" firstHeaderRow="2" firstDataRow="2" firstDataCol="4"/>
  <pivotFields count="29">
    <pivotField axis="axisRow" compact="0" outline="0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axis="axisRow" compact="0" outline="0" showAll="0" defaultSubtotal="0">
      <items count="197">
        <item h="1" x="0"/>
        <item m="1" x="181"/>
        <item m="1" x="121"/>
        <item m="1" x="67"/>
        <item m="1" x="25"/>
        <item m="1" x="73"/>
        <item m="1" x="167"/>
        <item m="1" x="125"/>
        <item h="1" x="10"/>
        <item m="1" x="187"/>
        <item m="1" x="169"/>
        <item m="1" x="79"/>
        <item m="1" x="87"/>
        <item m="1" x="152"/>
        <item m="1" x="155"/>
        <item m="1" x="171"/>
        <item m="1" x="82"/>
        <item m="1" x="76"/>
        <item m="1" x="166"/>
        <item m="1" x="37"/>
        <item m="1" x="39"/>
        <item m="1" x="77"/>
        <item m="1" x="33"/>
        <item m="1" x="172"/>
        <item m="1" x="96"/>
        <item m="1" x="120"/>
        <item m="1" x="89"/>
        <item m="1" x="42"/>
        <item m="1" x="110"/>
        <item m="1" x="43"/>
        <item m="1" x="97"/>
        <item m="1" x="122"/>
        <item m="1" x="41"/>
        <item m="1" x="22"/>
        <item m="1" x="93"/>
        <item m="1" x="36"/>
        <item m="1" x="179"/>
        <item m="1" x="144"/>
        <item m="1" x="119"/>
        <item m="1" x="14"/>
        <item m="1" x="164"/>
        <item m="1" x="58"/>
        <item m="1" x="156"/>
        <item m="1" x="188"/>
        <item m="1" x="91"/>
        <item m="1" x="133"/>
        <item x="4"/>
        <item m="1" x="105"/>
        <item m="1" x="63"/>
        <item m="1" x="118"/>
        <item m="1" x="174"/>
        <item m="1" x="129"/>
        <item m="1" x="151"/>
        <item m="1" x="109"/>
        <item m="1" x="95"/>
        <item m="1" x="186"/>
        <item m="1" x="32"/>
        <item m="1" x="60"/>
        <item m="1" x="44"/>
        <item m="1" x="66"/>
        <item m="1" x="148"/>
        <item m="1" x="47"/>
        <item m="1" x="138"/>
        <item m="1" x="48"/>
        <item m="1" x="127"/>
        <item m="1" x="101"/>
        <item m="1" x="70"/>
        <item x="9"/>
        <item m="1" x="163"/>
        <item m="1" x="143"/>
        <item m="1" x="165"/>
        <item m="1" x="57"/>
        <item m="1" x="134"/>
        <item m="1" x="191"/>
        <item m="1" x="162"/>
        <item m="1" x="185"/>
        <item m="1" x="61"/>
        <item x="5"/>
        <item m="1" x="65"/>
        <item m="1" x="113"/>
        <item m="1" x="183"/>
        <item m="1" x="159"/>
        <item m="1" x="75"/>
        <item m="1" x="173"/>
        <item m="1" x="94"/>
        <item m="1" x="142"/>
        <item m="1" x="128"/>
        <item m="1" x="146"/>
        <item m="1" x="189"/>
        <item m="1" x="196"/>
        <item m="1" x="190"/>
        <item m="1" x="31"/>
        <item m="1" x="137"/>
        <item m="1" x="11"/>
        <item m="1" x="16"/>
        <item m="1" x="35"/>
        <item m="1" x="135"/>
        <item m="1" x="29"/>
        <item m="1" x="20"/>
        <item m="1" x="19"/>
        <item m="1" x="108"/>
        <item m="1" x="64"/>
        <item m="1" x="90"/>
        <item m="1" x="83"/>
        <item m="1" x="139"/>
        <item m="1" x="71"/>
        <item m="1" x="102"/>
        <item m="1" x="112"/>
        <item x="7"/>
        <item m="1" x="12"/>
        <item m="1" x="62"/>
        <item m="1" x="23"/>
        <item m="1" x="114"/>
        <item m="1" x="177"/>
        <item m="1" x="40"/>
        <item m="1" x="115"/>
        <item m="1" x="80"/>
        <item m="1" x="192"/>
        <item m="1" x="126"/>
        <item m="1" x="136"/>
        <item m="1" x="15"/>
        <item m="1" x="85"/>
        <item m="1" x="158"/>
        <item m="1" x="86"/>
        <item m="1" x="106"/>
        <item m="1" x="116"/>
        <item m="1" x="160"/>
        <item m="1" x="27"/>
        <item m="1" x="18"/>
        <item m="1" x="69"/>
        <item m="1" x="84"/>
        <item m="1" x="78"/>
        <item m="1" x="161"/>
        <item m="1" x="194"/>
        <item m="1" x="176"/>
        <item m="1" x="145"/>
        <item m="1" x="21"/>
        <item m="1" x="170"/>
        <item m="1" x="68"/>
        <item m="1" x="103"/>
        <item m="1" x="17"/>
        <item m="1" x="26"/>
        <item m="1" x="195"/>
        <item m="1" x="81"/>
        <item m="1" x="50"/>
        <item m="1" x="46"/>
        <item m="1" x="30"/>
        <item m="1" x="54"/>
        <item m="1" x="53"/>
        <item m="1" x="28"/>
        <item m="1" x="49"/>
        <item m="1" x="132"/>
        <item m="1" x="193"/>
        <item m="1" x="13"/>
        <item m="1" x="38"/>
        <item m="1" x="175"/>
        <item m="1" x="154"/>
        <item m="1" x="100"/>
        <item m="1" x="180"/>
        <item m="1" x="56"/>
        <item m="1" x="147"/>
        <item m="1" x="117"/>
        <item m="1" x="88"/>
        <item m="1" x="178"/>
        <item m="1" x="157"/>
        <item m="1" x="34"/>
        <item m="1" x="45"/>
        <item m="1" x="104"/>
        <item m="1" x="130"/>
        <item m="1" x="24"/>
        <item m="1" x="123"/>
        <item m="1" x="131"/>
        <item m="1" x="99"/>
        <item m="1" x="51"/>
        <item m="1" x="52"/>
        <item m="1" x="140"/>
        <item m="1" x="107"/>
        <item m="1" x="59"/>
        <item m="1" x="153"/>
        <item m="1" x="149"/>
        <item m="1" x="92"/>
        <item m="1" x="98"/>
        <item m="1" x="141"/>
        <item x="1"/>
        <item m="1" x="72"/>
        <item m="1" x="74"/>
        <item m="1" x="182"/>
        <item m="1" x="150"/>
        <item m="1" x="168"/>
        <item m="1" x="184"/>
        <item m="1" x="55"/>
        <item m="1" x="111"/>
        <item m="1" x="124"/>
        <item x="2"/>
        <item x="3"/>
        <item x="6"/>
        <item x="8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name="C. Unit."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6"/>
    <field x="1"/>
    <field x="25"/>
  </rowFields>
  <rowItems count="10">
    <i>
      <x v="2"/>
      <x v="183"/>
      <x v="15"/>
      <x v="40"/>
    </i>
    <i>
      <x v="6"/>
      <x v="193"/>
      <x v="14"/>
      <x v="41"/>
    </i>
    <i>
      <x v="11"/>
      <x v="194"/>
      <x/>
      <x v="42"/>
    </i>
    <i>
      <x v="14"/>
      <x v="46"/>
      <x v="4"/>
      <x v="34"/>
    </i>
    <i>
      <x v="15"/>
      <x v="77"/>
      <x v="19"/>
      <x v="43"/>
    </i>
    <i>
      <x v="16"/>
      <x v="195"/>
      <x v="20"/>
      <x v="18"/>
    </i>
    <i>
      <x v="17"/>
      <x v="108"/>
      <x v="5"/>
      <x v="4"/>
    </i>
    <i>
      <x v="19"/>
      <x v="196"/>
      <x v="7"/>
      <x v="17"/>
    </i>
    <i>
      <x v="22"/>
      <x v="67"/>
      <x v="21"/>
      <x v="27"/>
    </i>
    <i t="grand">
      <x/>
    </i>
  </rowItems>
  <colItems count="1">
    <i/>
  </colItems>
  <dataFields count="1">
    <dataField name="Suma de Nota Sabado" fld="19" baseField="0" baseItem="0"/>
  </dataFields>
  <formats count="7">
    <format dxfId="749">
      <pivotArea outline="0" collapsedLevelsAreSubtotals="1" fieldPosition="0"/>
    </format>
    <format dxfId="748">
      <pivotArea type="topRight" dataOnly="0" labelOnly="1" outline="0" fieldPosition="0"/>
    </format>
    <format dxfId="747">
      <pivotArea field="0" type="button" dataOnly="0" labelOnly="1" outline="0" axis="axisRow" fieldPosition="0"/>
    </format>
    <format dxfId="746">
      <pivotArea dataOnly="0" labelOnly="1" outline="0" fieldPosition="0">
        <references count="1">
          <reference field="0" count="0"/>
        </references>
      </pivotArea>
    </format>
    <format dxfId="745">
      <pivotArea type="origin" dataOnly="0" labelOnly="1" outline="0" fieldPosition="0"/>
    </format>
    <format dxfId="744">
      <pivotArea dataOnly="0" labelOnly="1" grandRow="1" outline="0" fieldPosition="0"/>
    </format>
    <format dxfId="743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aDinámica9" cacheId="6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1:F22" firstHeaderRow="2" firstDataRow="2" firstDataCol="4"/>
  <pivotFields count="29">
    <pivotField axis="axisRow" compact="0" outline="0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89">
        <item h="1" x="0"/>
        <item m="1" x="113"/>
        <item m="1" x="118"/>
        <item m="1" x="39"/>
        <item m="1" x="96"/>
        <item m="1" x="110"/>
        <item m="1" x="131"/>
        <item m="1" x="161"/>
        <item h="1" x="10"/>
        <item m="1" x="73"/>
        <item m="1" x="86"/>
        <item m="1" x="59"/>
        <item m="1" x="93"/>
        <item m="1" x="68"/>
        <item m="1" x="172"/>
        <item m="1" x="71"/>
        <item m="1" x="175"/>
        <item m="1" x="129"/>
        <item x="1"/>
        <item m="1" x="101"/>
        <item m="1" x="115"/>
        <item m="1" x="111"/>
        <item m="1" x="164"/>
        <item m="1" x="170"/>
        <item m="1" x="181"/>
        <item m="1" x="40"/>
        <item m="1" x="60"/>
        <item m="1" x="143"/>
        <item m="1" x="105"/>
        <item m="1" x="88"/>
        <item m="1" x="144"/>
        <item m="1" x="177"/>
        <item m="1" x="32"/>
        <item m="1" x="31"/>
        <item m="1" x="136"/>
        <item m="1" x="62"/>
        <item m="1" x="61"/>
        <item m="1" x="67"/>
        <item m="1" x="140"/>
        <item m="1" x="178"/>
        <item m="1" x="49"/>
        <item m="1" x="50"/>
        <item m="1" x="117"/>
        <item m="1" x="35"/>
        <item m="1" x="91"/>
        <item m="1" x="69"/>
        <item m="1" x="58"/>
        <item m="1" x="155"/>
        <item m="1" x="116"/>
        <item m="1" x="92"/>
        <item m="1" x="133"/>
        <item m="1" x="157"/>
        <item m="1" x="38"/>
        <item m="1" x="148"/>
        <item m="1" x="176"/>
        <item m="1" x="63"/>
        <item m="1" x="163"/>
        <item m="1" x="107"/>
        <item m="1" x="151"/>
        <item m="1" x="19"/>
        <item m="1" x="158"/>
        <item m="1" x="36"/>
        <item m="1" x="87"/>
        <item m="1" x="132"/>
        <item m="1" x="20"/>
        <item m="1" x="124"/>
        <item m="1" x="137"/>
        <item m="1" x="179"/>
        <item m="1" x="187"/>
        <item m="1" x="112"/>
        <item m="1" x="128"/>
        <item m="1" x="30"/>
        <item m="1" x="180"/>
        <item m="1" x="168"/>
        <item m="1" x="11"/>
        <item m="1" x="77"/>
        <item m="1" x="15"/>
        <item m="1" x="34"/>
        <item m="1" x="126"/>
        <item m="1" x="122"/>
        <item m="1" x="28"/>
        <item m="1" x="17"/>
        <item m="1" x="16"/>
        <item m="1" x="65"/>
        <item m="1" x="84"/>
        <item m="1" x="80"/>
        <item m="1" x="81"/>
        <item m="1" x="130"/>
        <item m="1" x="97"/>
        <item m="1" x="106"/>
        <item m="1" x="99"/>
        <item m="1" x="183"/>
        <item m="1" x="147"/>
        <item m="1" x="154"/>
        <item m="1" x="46"/>
        <item m="1" x="149"/>
        <item m="1" x="114"/>
        <item m="1" x="167"/>
        <item m="1" x="48"/>
        <item x="5"/>
        <item m="1" x="79"/>
        <item m="1" x="72"/>
        <item m="1" x="12"/>
        <item m="1" x="108"/>
        <item m="1" x="41"/>
        <item m="1" x="165"/>
        <item m="1" x="14"/>
        <item m="1" x="66"/>
        <item m="1" x="85"/>
        <item m="1" x="74"/>
        <item m="1" x="75"/>
        <item m="1" x="56"/>
        <item m="1" x="134"/>
        <item m="1" x="43"/>
        <item m="1" x="64"/>
        <item m="1" x="109"/>
        <item m="1" x="22"/>
        <item m="1" x="94"/>
        <item m="1" x="125"/>
        <item m="1" x="83"/>
        <item m="1" x="160"/>
        <item m="1" x="188"/>
        <item m="1" x="25"/>
        <item m="1" x="153"/>
        <item m="1" x="185"/>
        <item m="1" x="146"/>
        <item m="1" x="23"/>
        <item m="1" x="26"/>
        <item m="1" x="78"/>
        <item m="1" x="52"/>
        <item m="1" x="47"/>
        <item m="1" x="29"/>
        <item m="1" x="55"/>
        <item x="9"/>
        <item m="1" x="51"/>
        <item m="1" x="70"/>
        <item m="1" x="13"/>
        <item m="1" x="184"/>
        <item m="1" x="18"/>
        <item m="1" x="37"/>
        <item m="1" x="166"/>
        <item m="1" x="119"/>
        <item m="1" x="95"/>
        <item m="1" x="171"/>
        <item m="1" x="57"/>
        <item m="1" x="139"/>
        <item m="1" x="82"/>
        <item m="1" x="169"/>
        <item m="1" x="33"/>
        <item m="1" x="159"/>
        <item m="1" x="100"/>
        <item m="1" x="120"/>
        <item m="1" x="24"/>
        <item m="1" x="104"/>
        <item m="1" x="121"/>
        <item m="1" x="53"/>
        <item m="1" x="54"/>
        <item m="1" x="156"/>
        <item m="1" x="90"/>
        <item m="1" x="98"/>
        <item m="1" x="103"/>
        <item m="1" x="145"/>
        <item m="1" x="141"/>
        <item m="1" x="89"/>
        <item m="1" x="127"/>
        <item m="1" x="21"/>
        <item m="1" x="45"/>
        <item m="1" x="150"/>
        <item m="1" x="142"/>
        <item m="1" x="186"/>
        <item m="1" x="42"/>
        <item m="1" x="44"/>
        <item m="1" x="182"/>
        <item m="1" x="173"/>
        <item m="1" x="152"/>
        <item m="1" x="138"/>
        <item m="1" x="76"/>
        <item x="6"/>
        <item m="1" x="174"/>
        <item m="1" x="162"/>
        <item m="1" x="135"/>
        <item m="1" x="102"/>
        <item m="1" x="27"/>
        <item m="1" x="123"/>
        <item x="2"/>
        <item x="3"/>
        <item x="4"/>
        <item x="7"/>
        <item x="8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outline="0" showAll="0"/>
    <pivotField name="C. Unit."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7"/>
    <field x="1"/>
    <field x="25"/>
  </rowFields>
  <rowItems count="10">
    <i>
      <x v="2"/>
      <x v="18"/>
      <x v="15"/>
      <x v="40"/>
    </i>
    <i>
      <x v="4"/>
      <x v="184"/>
      <x v="25"/>
      <x v="13"/>
    </i>
    <i>
      <x v="6"/>
      <x v="185"/>
      <x v="14"/>
      <x v="41"/>
    </i>
    <i>
      <x v="9"/>
      <x v="186"/>
      <x v="27"/>
      <x v="11"/>
    </i>
    <i>
      <x v="14"/>
      <x v="99"/>
      <x v="4"/>
      <x v="34"/>
    </i>
    <i>
      <x v="16"/>
      <x v="177"/>
      <x v="20"/>
      <x v="18"/>
    </i>
    <i>
      <x v="17"/>
      <x v="187"/>
      <x v="5"/>
      <x v="4"/>
    </i>
    <i>
      <x v="19"/>
      <x v="188"/>
      <x v="7"/>
      <x v="17"/>
    </i>
    <i>
      <x v="25"/>
      <x v="133"/>
      <x v="23"/>
      <x v="34"/>
    </i>
    <i t="grand">
      <x/>
    </i>
  </rowItems>
  <colItems count="1">
    <i/>
  </colItems>
  <dataFields count="1">
    <dataField name="Suma de Nota Domingo" fld="21" baseField="0" baseItem="0"/>
  </dataFields>
  <formats count="7">
    <format dxfId="742">
      <pivotArea outline="0" collapsedLevelsAreSubtotals="1" fieldPosition="0"/>
    </format>
    <format dxfId="741">
      <pivotArea type="topRight" dataOnly="0" labelOnly="1" outline="0" fieldPosition="0"/>
    </format>
    <format dxfId="740">
      <pivotArea field="0" type="button" dataOnly="0" labelOnly="1" outline="0" axis="axisRow" fieldPosition="0"/>
    </format>
    <format dxfId="739">
      <pivotArea dataOnly="0" labelOnly="1" outline="0" fieldPosition="0">
        <references count="1">
          <reference field="0" count="0"/>
        </references>
      </pivotArea>
    </format>
    <format dxfId="738">
      <pivotArea type="origin" dataOnly="0" labelOnly="1" outline="0" fieldPosition="0"/>
    </format>
    <format dxfId="737">
      <pivotArea dataOnly="0" labelOnly="1" grandRow="1" outline="0" fieldPosition="0"/>
    </format>
    <format dxfId="736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laDinámica9" cacheId="6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1:F18" firstHeaderRow="2" firstDataRow="2" firstDataCol="4"/>
  <pivotFields count="29">
    <pivotField axis="axisRow" compact="0" outline="0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89">
        <item h="1" x="0"/>
        <item m="1" x="118"/>
        <item m="1" x="35"/>
        <item m="1" x="61"/>
        <item m="1" x="73"/>
        <item m="1" x="19"/>
        <item m="1" x="17"/>
        <item m="1" x="37"/>
        <item m="1" x="82"/>
        <item h="1" x="6"/>
        <item m="1" x="175"/>
        <item m="1" x="54"/>
        <item m="1" x="59"/>
        <item m="1" x="169"/>
        <item m="1" x="66"/>
        <item m="1" x="38"/>
        <item m="1" x="69"/>
        <item m="1" x="44"/>
        <item m="1" x="166"/>
        <item m="1" x="22"/>
        <item m="1" x="29"/>
        <item m="1" x="94"/>
        <item m="1" x="81"/>
        <item m="1" x="51"/>
        <item m="1" x="154"/>
        <item m="1" x="116"/>
        <item m="1" x="89"/>
        <item m="1" x="130"/>
        <item m="1" x="155"/>
        <item m="1" x="128"/>
        <item m="1" x="32"/>
        <item m="1" x="46"/>
        <item m="1" x="36"/>
        <item m="1" x="143"/>
        <item m="1" x="177"/>
        <item m="1" x="30"/>
        <item m="1" x="176"/>
        <item m="1" x="187"/>
        <item m="1" x="139"/>
        <item m="1" x="184"/>
        <item m="1" x="113"/>
        <item m="1" x="53"/>
        <item m="1" x="161"/>
        <item m="1" x="106"/>
        <item m="1" x="174"/>
        <item m="1" x="147"/>
        <item m="1" x="65"/>
        <item m="1" x="157"/>
        <item m="1" x="83"/>
        <item m="1" x="26"/>
        <item m="1" x="129"/>
        <item m="1" x="172"/>
        <item m="1" x="15"/>
        <item m="1" x="123"/>
        <item m="1" x="156"/>
        <item m="1" x="138"/>
        <item m="1" x="25"/>
        <item m="1" x="56"/>
        <item m="1" x="80"/>
        <item m="1" x="88"/>
        <item m="1" x="112"/>
        <item m="1" x="178"/>
        <item m="1" x="131"/>
        <item m="1" x="7"/>
        <item m="1" x="9"/>
        <item m="1" x="28"/>
        <item m="1" x="125"/>
        <item m="1" x="122"/>
        <item m="1" x="24"/>
        <item m="1" x="42"/>
        <item m="1" x="12"/>
        <item m="1" x="11"/>
        <item m="1" x="181"/>
        <item m="1" x="162"/>
        <item m="1" x="145"/>
        <item m="1" x="77"/>
        <item m="1" x="127"/>
        <item m="1" x="62"/>
        <item m="1" x="95"/>
        <item m="1" x="105"/>
        <item m="1" x="97"/>
        <item m="1" x="141"/>
        <item m="1" x="68"/>
        <item m="1" x="70"/>
        <item m="1" x="117"/>
        <item m="1" x="119"/>
        <item m="1" x="107"/>
        <item m="1" x="21"/>
        <item m="1" x="151"/>
        <item m="1" x="31"/>
        <item m="1" x="40"/>
        <item m="1" x="144"/>
        <item m="1" x="114"/>
        <item m="1" x="165"/>
        <item m="1" x="34"/>
        <item m="1" x="108"/>
        <item m="1" x="134"/>
        <item m="1" x="67"/>
        <item m="1" x="75"/>
        <item m="1" x="133"/>
        <item m="1" x="179"/>
        <item m="1" x="57"/>
        <item m="1" x="153"/>
        <item m="1" x="41"/>
        <item m="1" x="48"/>
        <item m="1" x="110"/>
        <item m="1" x="76"/>
        <item m="1" x="104"/>
        <item m="1" x="43"/>
        <item m="1" x="100"/>
        <item m="1" x="33"/>
        <item m="1" x="149"/>
        <item m="1" x="63"/>
        <item m="1" x="140"/>
        <item m="1" x="188"/>
        <item m="1" x="183"/>
        <item m="1" x="103"/>
        <item m="1" x="164"/>
        <item m="1" x="132"/>
        <item m="1" x="13"/>
        <item m="1" x="79"/>
        <item m="1" x="49"/>
        <item m="1" x="71"/>
        <item m="1" x="23"/>
        <item m="1" x="182"/>
        <item m="1" x="8"/>
        <item m="1" x="163"/>
        <item m="1" x="93"/>
        <item m="1" x="170"/>
        <item m="1" x="50"/>
        <item m="1" x="121"/>
        <item m="1" x="58"/>
        <item m="1" x="91"/>
        <item m="1" x="98"/>
        <item m="1" x="45"/>
        <item m="1" x="78"/>
        <item m="1" x="168"/>
        <item m="1" x="27"/>
        <item m="1" x="159"/>
        <item m="1" x="120"/>
        <item m="1" x="18"/>
        <item m="1" x="72"/>
        <item m="1" x="150"/>
        <item m="1" x="102"/>
        <item m="1" x="115"/>
        <item m="1" x="126"/>
        <item m="1" x="47"/>
        <item m="1" x="16"/>
        <item m="1" x="87"/>
        <item m="1" x="52"/>
        <item m="1" x="101"/>
        <item m="1" x="64"/>
        <item m="1" x="136"/>
        <item m="1" x="85"/>
        <item m="1" x="111"/>
        <item m="1" x="186"/>
        <item m="1" x="185"/>
        <item m="1" x="135"/>
        <item m="1" x="39"/>
        <item m="1" x="146"/>
        <item m="1" x="137"/>
        <item m="1" x="109"/>
        <item m="1" x="84"/>
        <item m="1" x="20"/>
        <item m="1" x="10"/>
        <item m="1" x="90"/>
        <item m="1" x="92"/>
        <item m="1" x="124"/>
        <item m="1" x="160"/>
        <item m="1" x="180"/>
        <item m="1" x="60"/>
        <item m="1" x="74"/>
        <item m="1" x="142"/>
        <item m="1" x="171"/>
        <item m="1" x="148"/>
        <item m="1" x="167"/>
        <item m="1" x="55"/>
        <item m="1" x="158"/>
        <item x="3"/>
        <item m="1" x="86"/>
        <item m="1" x="14"/>
        <item m="1" x="152"/>
        <item x="1"/>
        <item m="1" x="96"/>
        <item m="1" x="173"/>
        <item m="1" x="99"/>
        <item x="2"/>
        <item x="4"/>
        <item x="5"/>
      </items>
    </pivotField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name="C. Unit."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8"/>
    <field x="1"/>
    <field x="25"/>
  </rowFields>
  <rowItems count="6">
    <i>
      <x v="1"/>
      <x v="182"/>
      <x v="9"/>
      <x v="25"/>
    </i>
    <i>
      <x v="6"/>
      <x v="186"/>
      <x v="14"/>
      <x v="41"/>
    </i>
    <i>
      <x v="16"/>
      <x v="178"/>
      <x v="20"/>
      <x v="18"/>
    </i>
    <i>
      <x v="17"/>
      <x v="187"/>
      <x v="5"/>
      <x v="4"/>
    </i>
    <i>
      <x v="19"/>
      <x v="188"/>
      <x v="7"/>
      <x v="17"/>
    </i>
    <i t="grand">
      <x/>
    </i>
  </rowItems>
  <colItems count="1">
    <i/>
  </colItems>
  <dataFields count="1">
    <dataField name="Suma de Nota Lunes" fld="23" baseField="0" baseItem="0"/>
  </dataFields>
  <formats count="7">
    <format dxfId="735">
      <pivotArea outline="0" collapsedLevelsAreSubtotals="1" fieldPosition="0"/>
    </format>
    <format dxfId="734">
      <pivotArea type="topRight" dataOnly="0" labelOnly="1" outline="0" fieldPosition="0"/>
    </format>
    <format dxfId="733">
      <pivotArea field="0" type="button" dataOnly="0" labelOnly="1" outline="0" axis="axisRow" fieldPosition="0"/>
    </format>
    <format dxfId="732">
      <pivotArea dataOnly="0" labelOnly="1" outline="0" fieldPosition="0">
        <references count="1">
          <reference field="0" count="0"/>
        </references>
      </pivotArea>
    </format>
    <format dxfId="731">
      <pivotArea type="origin" dataOnly="0" labelOnly="1" outline="0" fieldPosition="0"/>
    </format>
    <format dxfId="730">
      <pivotArea dataOnly="0" labelOnly="1" grandRow="1" outline="0" fieldPosition="0"/>
    </format>
    <format dxfId="729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TablaDinámica9" cacheId="1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1:F22" firstHeaderRow="2" firstDataRow="2" firstDataCol="4"/>
  <pivotFields count="29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axis="axisRow" compact="0" outline="0" showAll="0" defaultSubtotal="0">
      <items count="173">
        <item h="1" x="0"/>
        <item m="1" x="25"/>
        <item m="1" x="149"/>
        <item m="1" x="172"/>
        <item h="1" x="9"/>
        <item m="1" x="73"/>
        <item m="1" x="16"/>
        <item x="1"/>
        <item x="2"/>
        <item m="1" x="14"/>
        <item m="1" x="169"/>
        <item m="1" x="29"/>
        <item m="1" x="86"/>
        <item m="1" x="130"/>
        <item m="1" x="107"/>
        <item m="1" x="119"/>
        <item m="1" x="162"/>
        <item x="5"/>
        <item x="3"/>
        <item m="1" x="116"/>
        <item m="1" x="22"/>
        <item x="6"/>
        <item m="1" x="137"/>
        <item m="1" x="26"/>
        <item m="1" x="132"/>
        <item m="1" x="48"/>
        <item m="1" x="33"/>
        <item m="1" x="40"/>
        <item m="1" x="63"/>
        <item m="1" x="108"/>
        <item m="1" x="75"/>
        <item m="1" x="102"/>
        <item m="1" x="143"/>
        <item m="1" x="133"/>
        <item m="1" x="21"/>
        <item m="1" x="163"/>
        <item m="1" x="53"/>
        <item m="1" x="50"/>
        <item m="1" x="158"/>
        <item m="1" x="41"/>
        <item m="1" x="164"/>
        <item m="1" x="103"/>
        <item m="1" x="115"/>
        <item m="1" x="15"/>
        <item x="8"/>
        <item m="1" x="46"/>
        <item m="1" x="148"/>
        <item m="1" x="64"/>
        <item m="1" x="36"/>
        <item m="1" x="45"/>
        <item m="1" x="152"/>
        <item m="1" x="151"/>
        <item m="1" x="155"/>
        <item m="1" x="144"/>
        <item m="1" x="70"/>
        <item m="1" x="66"/>
        <item m="1" x="154"/>
        <item m="1" x="19"/>
        <item m="1" x="80"/>
        <item m="1" x="142"/>
        <item m="1" x="67"/>
        <item m="1" x="69"/>
        <item m="1" x="95"/>
        <item m="1" x="113"/>
        <item x="7"/>
        <item m="1" x="72"/>
        <item m="1" x="122"/>
        <item m="1" x="38"/>
        <item m="1" x="12"/>
        <item m="1" x="60"/>
        <item m="1" x="24"/>
        <item m="1" x="65"/>
        <item m="1" x="37"/>
        <item m="1" x="23"/>
        <item m="1" x="128"/>
        <item m="1" x="52"/>
        <item m="1" x="98"/>
        <item m="1" x="156"/>
        <item m="1" x="47"/>
        <item m="1" x="96"/>
        <item m="1" x="79"/>
        <item m="1" x="81"/>
        <item m="1" x="13"/>
        <item m="1" x="101"/>
        <item m="1" x="59"/>
        <item m="1" x="120"/>
        <item m="1" x="121"/>
        <item m="1" x="49"/>
        <item m="1" x="168"/>
        <item m="1" x="44"/>
        <item m="1" x="61"/>
        <item m="1" x="85"/>
        <item m="1" x="71"/>
        <item m="1" x="170"/>
        <item m="1" x="165"/>
        <item m="1" x="129"/>
        <item m="1" x="58"/>
        <item m="1" x="77"/>
        <item m="1" x="140"/>
        <item m="1" x="10"/>
        <item m="1" x="51"/>
        <item m="1" x="68"/>
        <item m="1" x="82"/>
        <item m="1" x="145"/>
        <item m="1" x="57"/>
        <item m="1" x="166"/>
        <item m="1" x="139"/>
        <item m="1" x="93"/>
        <item m="1" x="124"/>
        <item m="1" x="84"/>
        <item m="1" x="87"/>
        <item m="1" x="90"/>
        <item m="1" x="18"/>
        <item m="1" x="83"/>
        <item m="1" x="43"/>
        <item m="1" x="125"/>
        <item m="1" x="146"/>
        <item m="1" x="76"/>
        <item m="1" x="123"/>
        <item m="1" x="112"/>
        <item m="1" x="127"/>
        <item m="1" x="55"/>
        <item m="1" x="31"/>
        <item m="1" x="160"/>
        <item m="1" x="135"/>
        <item m="1" x="20"/>
        <item m="1" x="161"/>
        <item m="1" x="99"/>
        <item m="1" x="92"/>
        <item m="1" x="88"/>
        <item m="1" x="134"/>
        <item m="1" x="56"/>
        <item m="1" x="114"/>
        <item m="1" x="167"/>
        <item m="1" x="109"/>
        <item m="1" x="104"/>
        <item m="1" x="100"/>
        <item m="1" x="30"/>
        <item m="1" x="17"/>
        <item m="1" x="111"/>
        <item m="1" x="110"/>
        <item m="1" x="32"/>
        <item m="1" x="105"/>
        <item m="1" x="94"/>
        <item m="1" x="136"/>
        <item m="1" x="153"/>
        <item m="1" x="138"/>
        <item m="1" x="34"/>
        <item m="1" x="11"/>
        <item m="1" x="106"/>
        <item m="1" x="27"/>
        <item m="1" x="171"/>
        <item m="1" x="42"/>
        <item m="1" x="159"/>
        <item m="1" x="131"/>
        <item m="1" x="97"/>
        <item m="1" x="117"/>
        <item m="1" x="35"/>
        <item m="1" x="89"/>
        <item m="1" x="28"/>
        <item m="1" x="150"/>
        <item m="1" x="157"/>
        <item m="1" x="118"/>
        <item m="1" x="39"/>
        <item m="1" x="74"/>
        <item m="1" x="62"/>
        <item m="1" x="54"/>
        <item m="1" x="147"/>
        <item m="1" x="141"/>
        <item m="1" x="126"/>
        <item x="4"/>
        <item m="1" x="91"/>
        <item m="1" x="78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name="C. Unit."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2"/>
    <field x="1"/>
    <field x="25"/>
  </rowFields>
  <rowItems count="10">
    <i>
      <x v="5"/>
      <x v="7"/>
      <x v="14"/>
      <x v="41"/>
    </i>
    <i>
      <x v="6"/>
      <x v="8"/>
      <x v="12"/>
      <x v="41"/>
    </i>
    <i>
      <x v="8"/>
      <x v="18"/>
      <x v="27"/>
      <x v="11"/>
    </i>
    <i>
      <x v="14"/>
      <x v="170"/>
      <x v="19"/>
      <x v="43"/>
    </i>
    <i>
      <x v="15"/>
      <x v="17"/>
      <x v="20"/>
      <x v="18"/>
    </i>
    <i>
      <x v="16"/>
      <x v="170"/>
      <x v="5"/>
      <x v="4"/>
    </i>
    <i>
      <x v="18"/>
      <x v="21"/>
      <x v="7"/>
      <x v="17"/>
    </i>
    <i>
      <x v="22"/>
      <x v="64"/>
      <x v="22"/>
      <x v="7"/>
    </i>
    <i>
      <x v="23"/>
      <x v="44"/>
      <x v="23"/>
      <x v="34"/>
    </i>
    <i t="grand">
      <x/>
    </i>
  </rowItems>
  <colItems count="1">
    <i/>
  </colItems>
  <dataFields count="1">
    <dataField name="Suma de Nota Martes" fld="11" baseField="0" baseItem="0" numFmtId="164"/>
  </dataFields>
  <formats count="11">
    <format dxfId="728">
      <pivotArea outline="0" collapsedLevelsAreSubtotals="1" fieldPosition="0"/>
    </format>
    <format dxfId="727">
      <pivotArea type="topRight" dataOnly="0" labelOnly="1" outline="0" fieldPosition="0"/>
    </format>
    <format dxfId="726">
      <pivotArea field="0" type="button" dataOnly="0" labelOnly="1" outline="0" axis="axisRow" fieldPosition="0"/>
    </format>
    <format dxfId="725">
      <pivotArea dataOnly="0" labelOnly="1" outline="0" fieldPosition="0">
        <references count="1">
          <reference field="0" count="0"/>
        </references>
      </pivotArea>
    </format>
    <format dxfId="724">
      <pivotArea type="origin" dataOnly="0" labelOnly="1" outline="0" fieldPosition="0"/>
    </format>
    <format dxfId="723">
      <pivotArea dataOnly="0" labelOnly="1" grandRow="1" outline="0" fieldPosition="0"/>
    </format>
    <format dxfId="722">
      <pivotArea type="all" dataOnly="0" outline="0" fieldPosition="0"/>
    </format>
    <format dxfId="721">
      <pivotArea outline="0" fieldPosition="0">
        <references count="4">
          <reference field="0" count="1" selected="0">
            <x v="5"/>
          </reference>
          <reference field="1" count="1" selected="0">
            <x v="14"/>
          </reference>
          <reference field="2" count="1" selected="0">
            <x v="109"/>
          </reference>
          <reference field="25" count="1" selected="0">
            <x v="25"/>
          </reference>
        </references>
      </pivotArea>
    </format>
    <format dxfId="720">
      <pivotArea outline="0" fieldPosition="0">
        <references count="4">
          <reference field="0" count="1" selected="0">
            <x v="6"/>
          </reference>
          <reference field="1" count="1" selected="0">
            <x v="12"/>
          </reference>
          <reference field="2" count="1" selected="0">
            <x v="103"/>
          </reference>
          <reference field="25" count="1" selected="0">
            <x v="15"/>
          </reference>
        </references>
      </pivotArea>
    </format>
    <format dxfId="719">
      <pivotArea outline="0" fieldPosition="0">
        <references count="4">
          <reference field="0" count="1" selected="0">
            <x v="16"/>
          </reference>
          <reference field="1" count="1" selected="0">
            <x v="5"/>
          </reference>
          <reference field="2" count="1" selected="0">
            <x v="112"/>
          </reference>
          <reference field="25" count="1" selected="0">
            <x v="2"/>
          </reference>
        </references>
      </pivotArea>
    </format>
    <format dxfId="71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TablaDinámica9" cacheId="1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1:F19" firstHeaderRow="2" firstDataRow="2" firstDataCol="4"/>
  <pivotFields count="29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compact="0" outline="0" showAll="0" defaultSubtotal="0"/>
    <pivotField axis="axisRow" compact="0" outline="0" showAll="0" defaultSubtotal="0">
      <items count="178">
        <item h="1" x="0"/>
        <item m="1" x="55"/>
        <item h="1" x="7"/>
        <item m="1" x="66"/>
        <item m="1" x="141"/>
        <item m="1" x="136"/>
        <item m="1" x="171"/>
        <item m="1" x="67"/>
        <item m="1" x="27"/>
        <item m="1" x="138"/>
        <item m="1" x="162"/>
        <item m="1" x="60"/>
        <item m="1" x="84"/>
        <item m="1" x="116"/>
        <item m="1" x="161"/>
        <item m="1" x="76"/>
        <item x="4"/>
        <item m="1" x="146"/>
        <item m="1" x="33"/>
        <item m="1" x="47"/>
        <item m="1" x="174"/>
        <item m="1" x="16"/>
        <item m="1" x="20"/>
        <item x="2"/>
        <item m="1" x="11"/>
        <item m="1" x="135"/>
        <item m="1" x="113"/>
        <item m="1" x="155"/>
        <item m="1" x="112"/>
        <item m="1" x="160"/>
        <item m="1" x="111"/>
        <item x="6"/>
        <item m="1" x="127"/>
        <item m="1" x="29"/>
        <item m="1" x="56"/>
        <item m="1" x="15"/>
        <item m="1" x="121"/>
        <item m="1" x="143"/>
        <item m="1" x="54"/>
        <item m="1" x="117"/>
        <item m="1" x="36"/>
        <item m="1" x="114"/>
        <item m="1" x="101"/>
        <item m="1" x="75"/>
        <item m="1" x="131"/>
        <item m="1" x="48"/>
        <item m="1" x="14"/>
        <item m="1" x="166"/>
        <item m="1" x="71"/>
        <item m="1" x="28"/>
        <item m="1" x="70"/>
        <item m="1" x="45"/>
        <item m="1" x="79"/>
        <item m="1" x="77"/>
        <item m="1" x="51"/>
        <item m="1" x="57"/>
        <item m="1" x="72"/>
        <item m="1" x="26"/>
        <item x="5"/>
        <item m="1" x="105"/>
        <item m="1" x="163"/>
        <item m="1" x="106"/>
        <item m="1" x="88"/>
        <item m="1" x="80"/>
        <item m="1" x="90"/>
        <item m="1" x="150"/>
        <item m="1" x="151"/>
        <item m="1" x="120"/>
        <item m="1" x="38"/>
        <item m="1" x="81"/>
        <item m="1" x="65"/>
        <item m="1" x="129"/>
        <item m="1" x="78"/>
        <item m="1" x="73"/>
        <item m="1" x="119"/>
        <item m="1" x="110"/>
        <item m="1" x="94"/>
        <item m="1" x="128"/>
        <item m="1" x="147"/>
        <item m="1" x="13"/>
        <item m="1" x="133"/>
        <item m="1" x="99"/>
        <item m="1" x="10"/>
        <item m="1" x="58"/>
        <item m="1" x="157"/>
        <item m="1" x="172"/>
        <item m="1" x="23"/>
        <item m="1" x="148"/>
        <item m="1" x="87"/>
        <item m="1" x="24"/>
        <item m="1" x="98"/>
        <item m="1" x="42"/>
        <item m="1" x="156"/>
        <item m="1" x="109"/>
        <item m="1" x="159"/>
        <item m="1" x="97"/>
        <item m="1" x="18"/>
        <item m="1" x="35"/>
        <item m="1" x="21"/>
        <item m="1" x="152"/>
        <item m="1" x="31"/>
        <item m="1" x="134"/>
        <item m="1" x="34"/>
        <item m="1" x="158"/>
        <item m="1" x="123"/>
        <item m="1" x="69"/>
        <item m="1" x="61"/>
        <item m="1" x="89"/>
        <item m="1" x="137"/>
        <item m="1" x="59"/>
        <item m="1" x="62"/>
        <item m="1" x="64"/>
        <item m="1" x="142"/>
        <item m="1" x="41"/>
        <item m="1" x="74"/>
        <item m="1" x="100"/>
        <item m="1" x="9"/>
        <item m="1" x="95"/>
        <item m="1" x="25"/>
        <item m="1" x="144"/>
        <item m="1" x="145"/>
        <item m="1" x="63"/>
        <item m="1" x="122"/>
        <item m="1" x="175"/>
        <item m="1" x="107"/>
        <item m="1" x="17"/>
        <item m="1" x="118"/>
        <item m="1" x="22"/>
        <item m="1" x="37"/>
        <item m="1" x="104"/>
        <item m="1" x="164"/>
        <item m="1" x="154"/>
        <item m="1" x="92"/>
        <item m="1" x="12"/>
        <item m="1" x="115"/>
        <item m="1" x="30"/>
        <item m="1" x="176"/>
        <item m="1" x="32"/>
        <item m="1" x="93"/>
        <item m="1" x="139"/>
        <item m="1" x="177"/>
        <item m="1" x="53"/>
        <item m="1" x="169"/>
        <item m="1" x="140"/>
        <item m="1" x="68"/>
        <item m="1" x="83"/>
        <item m="1" x="19"/>
        <item m="1" x="43"/>
        <item m="1" x="125"/>
        <item m="1" x="40"/>
        <item m="1" x="96"/>
        <item m="1" x="168"/>
        <item m="1" x="126"/>
        <item m="1" x="49"/>
        <item m="1" x="82"/>
        <item m="1" x="8"/>
        <item m="1" x="149"/>
        <item m="1" x="44"/>
        <item m="1" x="46"/>
        <item m="1" x="85"/>
        <item m="1" x="132"/>
        <item m="1" x="52"/>
        <item m="1" x="108"/>
        <item m="1" x="102"/>
        <item m="1" x="91"/>
        <item m="1" x="50"/>
        <item m="1" x="39"/>
        <item m="1" x="103"/>
        <item m="1" x="86"/>
        <item m="1" x="173"/>
        <item m="1" x="124"/>
        <item m="1" x="167"/>
        <item m="1" x="130"/>
        <item m="1" x="165"/>
        <item m="1" x="153"/>
        <item m="1" x="170"/>
        <item x="1"/>
        <item x="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name="C. Unit."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3"/>
    <field x="1"/>
    <field x="25"/>
  </rowFields>
  <rowItems count="7">
    <i>
      <x v="5"/>
      <x v="176"/>
      <x v="14"/>
      <x v="41"/>
    </i>
    <i>
      <x v="6"/>
      <x v="23"/>
      <x v="12"/>
      <x v="41"/>
    </i>
    <i>
      <x v="8"/>
      <x v="177"/>
      <x v="27"/>
      <x v="11"/>
    </i>
    <i>
      <x v="10"/>
      <x v="16"/>
      <x/>
      <x v="42"/>
    </i>
    <i>
      <x v="15"/>
      <x v="58"/>
      <x v="20"/>
      <x v="18"/>
    </i>
    <i>
      <x v="18"/>
      <x v="31"/>
      <x v="7"/>
      <x v="17"/>
    </i>
    <i t="grand">
      <x/>
    </i>
  </rowItems>
  <colItems count="1">
    <i/>
  </colItems>
  <dataFields count="1">
    <dataField name="Suma de Nota Miercoles" fld="13" baseField="0" baseItem="0"/>
  </dataFields>
  <formats count="7">
    <format dxfId="717">
      <pivotArea outline="0" collapsedLevelsAreSubtotals="1" fieldPosition="0"/>
    </format>
    <format dxfId="716">
      <pivotArea type="topRight" dataOnly="0" labelOnly="1" outline="0" fieldPosition="0"/>
    </format>
    <format dxfId="715">
      <pivotArea field="0" type="button" dataOnly="0" labelOnly="1" outline="0" axis="axisRow" fieldPosition="0"/>
    </format>
    <format dxfId="714">
      <pivotArea dataOnly="0" labelOnly="1" outline="0" fieldPosition="0">
        <references count="1">
          <reference field="0" count="0"/>
        </references>
      </pivotArea>
    </format>
    <format dxfId="713">
      <pivotArea type="origin" dataOnly="0" labelOnly="1" outline="0" fieldPosition="0"/>
    </format>
    <format dxfId="712">
      <pivotArea dataOnly="0" labelOnly="1" grandRow="1" outline="0" fieldPosition="0"/>
    </format>
    <format dxfId="71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TablaDinámica9" cacheId="1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1:F23" firstHeaderRow="2" firstDataRow="2" firstDataCol="4"/>
  <pivotFields count="29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compact="0" outline="0" showAll="0" defaultSubtotal="0"/>
    <pivotField compact="0" outline="0" showAll="0"/>
    <pivotField axis="axisRow" compact="0" outline="0" showAll="0" defaultSubtotal="0">
      <items count="177">
        <item h="1" x="0"/>
        <item h="1" x="11"/>
        <item x="1"/>
        <item m="1" x="26"/>
        <item x="9"/>
        <item m="1" x="108"/>
        <item m="1" x="51"/>
        <item m="1" x="146"/>
        <item m="1" x="162"/>
        <item m="1" x="102"/>
        <item x="8"/>
        <item m="1" x="154"/>
        <item m="1" x="132"/>
        <item m="1" x="16"/>
        <item m="1" x="170"/>
        <item m="1" x="49"/>
        <item m="1" x="56"/>
        <item m="1" x="173"/>
        <item x="4"/>
        <item m="1" x="60"/>
        <item x="3"/>
        <item m="1" x="150"/>
        <item m="1" x="151"/>
        <item m="1" x="136"/>
        <item m="1" x="121"/>
        <item m="1" x="80"/>
        <item m="1" x="142"/>
        <item m="1" x="115"/>
        <item m="1" x="27"/>
        <item m="1" x="87"/>
        <item m="1" x="73"/>
        <item x="5"/>
        <item m="1" x="54"/>
        <item m="1" x="44"/>
        <item m="1" x="31"/>
        <item m="1" x="25"/>
        <item m="1" x="50"/>
        <item m="1" x="148"/>
        <item m="1" x="63"/>
        <item m="1" x="144"/>
        <item m="1" x="174"/>
        <item m="1" x="81"/>
        <item m="1" x="96"/>
        <item m="1" x="71"/>
        <item m="1" x="139"/>
        <item m="1" x="76"/>
        <item m="1" x="23"/>
        <item m="1" x="106"/>
        <item m="1" x="165"/>
        <item m="1" x="46"/>
        <item m="1" x="107"/>
        <item m="1" x="90"/>
        <item m="1" x="91"/>
        <item m="1" x="143"/>
        <item m="1" x="72"/>
        <item m="1" x="130"/>
        <item m="1" x="82"/>
        <item m="1" x="55"/>
        <item m="1" x="69"/>
        <item m="1" x="140"/>
        <item m="1" x="128"/>
        <item m="1" x="24"/>
        <item m="1" x="79"/>
        <item m="1" x="129"/>
        <item x="7"/>
        <item m="1" x="77"/>
        <item m="1" x="105"/>
        <item x="10"/>
        <item m="1" x="113"/>
        <item m="1" x="98"/>
        <item m="1" x="126"/>
        <item m="1" x="112"/>
        <item m="1" x="133"/>
        <item m="1" x="14"/>
        <item m="1" x="134"/>
        <item m="1" x="155"/>
        <item x="2"/>
        <item m="1" x="21"/>
        <item m="1" x="131"/>
        <item m="1" x="37"/>
        <item m="1" x="74"/>
        <item m="1" x="17"/>
        <item m="1" x="101"/>
        <item m="1" x="22"/>
        <item m="1" x="58"/>
        <item m="1" x="19"/>
        <item m="1" x="171"/>
        <item m="1" x="48"/>
        <item m="1" x="135"/>
        <item m="1" x="159"/>
        <item m="1" x="122"/>
        <item m="1" x="70"/>
        <item m="1" x="156"/>
        <item m="1" x="75"/>
        <item m="1" x="158"/>
        <item m="1" x="66"/>
        <item m="1" x="41"/>
        <item m="1" x="137"/>
        <item m="1" x="172"/>
        <item m="1" x="109"/>
        <item m="1" x="53"/>
        <item m="1" x="103"/>
        <item m="1" x="99"/>
        <item m="1" x="32"/>
        <item m="1" x="20"/>
        <item m="1" x="147"/>
        <item m="1" x="67"/>
        <item m="1" x="117"/>
        <item m="1" x="85"/>
        <item m="1" x="18"/>
        <item m="1" x="38"/>
        <item m="1" x="123"/>
        <item m="1" x="110"/>
        <item m="1" x="33"/>
        <item m="1" x="149"/>
        <item m="1" x="167"/>
        <item m="1" x="83"/>
        <item m="1" x="36"/>
        <item m="1" x="92"/>
        <item m="1" x="15"/>
        <item m="1" x="116"/>
        <item m="1" x="47"/>
        <item m="1" x="64"/>
        <item m="1" x="176"/>
        <item m="1" x="30"/>
        <item m="1" x="95"/>
        <item x="6"/>
        <item m="1" x="28"/>
        <item m="1" x="52"/>
        <item m="1" x="86"/>
        <item m="1" x="120"/>
        <item m="1" x="175"/>
        <item m="1" x="166"/>
        <item m="1" x="124"/>
        <item m="1" x="39"/>
        <item m="1" x="100"/>
        <item m="1" x="57"/>
        <item m="1" x="164"/>
        <item m="1" x="163"/>
        <item m="1" x="169"/>
        <item m="1" x="125"/>
        <item m="1" x="45"/>
        <item m="1" x="84"/>
        <item m="1" x="157"/>
        <item m="1" x="65"/>
        <item m="1" x="160"/>
        <item m="1" x="12"/>
        <item m="1" x="152"/>
        <item m="1" x="42"/>
        <item m="1" x="40"/>
        <item m="1" x="43"/>
        <item m="1" x="88"/>
        <item m="1" x="59"/>
        <item m="1" x="111"/>
        <item m="1" x="29"/>
        <item m="1" x="104"/>
        <item m="1" x="127"/>
        <item m="1" x="114"/>
        <item m="1" x="141"/>
        <item m="1" x="68"/>
        <item m="1" x="168"/>
        <item m="1" x="78"/>
        <item m="1" x="97"/>
        <item m="1" x="118"/>
        <item m="1" x="119"/>
        <item m="1" x="89"/>
        <item m="1" x="153"/>
        <item m="1" x="61"/>
        <item m="1" x="161"/>
        <item m="1" x="35"/>
        <item m="1" x="62"/>
        <item m="1" x="94"/>
        <item m="1" x="93"/>
        <item m="1" x="34"/>
        <item m="1" x="13"/>
        <item m="1" x="138"/>
        <item m="1" x="14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name="C. Unit."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4"/>
    <field x="1"/>
    <field x="25"/>
  </rowFields>
  <rowItems count="11">
    <i>
      <x v="2"/>
      <x v="2"/>
      <x v="15"/>
      <x v="40"/>
    </i>
    <i>
      <x v="5"/>
      <x v="76"/>
      <x v="14"/>
      <x v="41"/>
    </i>
    <i>
      <x v="6"/>
      <x v="20"/>
      <x v="12"/>
      <x v="41"/>
    </i>
    <i>
      <x v="10"/>
      <x v="18"/>
      <x/>
      <x v="42"/>
    </i>
    <i>
      <x v="15"/>
      <x v="31"/>
      <x v="20"/>
      <x v="18"/>
    </i>
    <i>
      <x v="16"/>
      <x v="126"/>
      <x v="5"/>
      <x v="4"/>
    </i>
    <i>
      <x v="18"/>
      <x v="64"/>
      <x v="7"/>
      <x v="17"/>
    </i>
    <i>
      <x v="21"/>
      <x v="10"/>
      <x v="21"/>
      <x v="27"/>
    </i>
    <i>
      <x v="22"/>
      <x v="4"/>
      <x v="22"/>
      <x v="7"/>
    </i>
    <i>
      <x v="23"/>
      <x v="67"/>
      <x v="23"/>
      <x v="34"/>
    </i>
    <i t="grand">
      <x/>
    </i>
  </rowItems>
  <colItems count="1">
    <i/>
  </colItems>
  <dataFields count="1">
    <dataField name="Suma de Nota Jueves" fld="15" baseField="0" baseItem="0"/>
  </dataFields>
  <formats count="7">
    <format dxfId="710">
      <pivotArea outline="0" collapsedLevelsAreSubtotals="1" fieldPosition="0"/>
    </format>
    <format dxfId="709">
      <pivotArea type="topRight" dataOnly="0" labelOnly="1" outline="0" fieldPosition="0"/>
    </format>
    <format dxfId="708">
      <pivotArea field="0" type="button" dataOnly="0" labelOnly="1" outline="0" axis="axisRow" fieldPosition="0"/>
    </format>
    <format dxfId="707">
      <pivotArea dataOnly="0" labelOnly="1" outline="0" fieldPosition="0">
        <references count="1">
          <reference field="0" count="0"/>
        </references>
      </pivotArea>
    </format>
    <format dxfId="706">
      <pivotArea type="origin" dataOnly="0" labelOnly="1" outline="0" fieldPosition="0"/>
    </format>
    <format dxfId="705">
      <pivotArea dataOnly="0" labelOnly="1" grandRow="1" outline="0" fieldPosition="0"/>
    </format>
    <format dxfId="704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TablaDinámica9" cacheId="1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1:F21" firstHeaderRow="2" firstDataRow="2" firstDataCol="4"/>
  <pivotFields count="29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compact="0" outline="0" showAll="0" defaultSubtotal="0"/>
    <pivotField compact="0" outline="0" showAll="0"/>
    <pivotField compact="0" outline="0" showAll="0"/>
    <pivotField axis="axisRow" compact="0" outline="0" showAll="0" defaultSubtotal="0">
      <items count="182">
        <item h="1" x="0"/>
        <item m="1" x="171"/>
        <item m="1" x="108"/>
        <item m="1" x="125"/>
        <item h="1" x="8"/>
        <item m="1" x="9"/>
        <item x="3"/>
        <item m="1" x="77"/>
        <item m="1" x="179"/>
        <item m="1" x="147"/>
        <item m="1" x="145"/>
        <item m="1" x="162"/>
        <item x="4"/>
        <item m="1" x="93"/>
        <item m="1" x="116"/>
        <item m="1" x="118"/>
        <item m="1" x="10"/>
        <item m="1" x="82"/>
        <item m="1" x="114"/>
        <item m="1" x="120"/>
        <item m="1" x="88"/>
        <item m="1" x="143"/>
        <item m="1" x="111"/>
        <item m="1" x="180"/>
        <item x="2"/>
        <item m="1" x="142"/>
        <item m="1" x="24"/>
        <item m="1" x="137"/>
        <item m="1" x="39"/>
        <item m="1" x="83"/>
        <item m="1" x="158"/>
        <item x="7"/>
        <item m="1" x="67"/>
        <item m="1" x="173"/>
        <item m="1" x="112"/>
        <item m="1" x="59"/>
        <item m="1" x="138"/>
        <item m="1" x="48"/>
        <item m="1" x="25"/>
        <item m="1" x="113"/>
        <item m="1" x="104"/>
        <item m="1" x="168"/>
        <item m="1" x="50"/>
        <item m="1" x="63"/>
        <item m="1" x="95"/>
        <item m="1" x="159"/>
        <item m="1" x="26"/>
        <item m="1" x="72"/>
        <item m="1" x="129"/>
        <item m="1" x="75"/>
        <item m="1" x="70"/>
        <item m="1" x="103"/>
        <item m="1" x="13"/>
        <item m="1" x="69"/>
        <item m="1" x="109"/>
        <item m="1" x="126"/>
        <item m="1" x="151"/>
        <item m="1" x="140"/>
        <item m="1" x="133"/>
        <item m="1" x="98"/>
        <item m="1" x="11"/>
        <item m="1" x="73"/>
        <item m="1" x="135"/>
        <item m="1" x="178"/>
        <item m="1" x="157"/>
        <item x="5"/>
        <item m="1" x="22"/>
        <item m="1" x="130"/>
        <item m="1" x="18"/>
        <item m="1" x="14"/>
        <item m="1" x="19"/>
        <item m="1" x="160"/>
        <item m="1" x="175"/>
        <item m="1" x="46"/>
        <item m="1" x="66"/>
        <item m="1" x="144"/>
        <item m="1" x="163"/>
        <item m="1" x="23"/>
        <item m="1" x="54"/>
        <item m="1" x="146"/>
        <item m="1" x="40"/>
        <item m="1" x="136"/>
        <item m="1" x="176"/>
        <item m="1" x="119"/>
        <item m="1" x="92"/>
        <item m="1" x="42"/>
        <item m="1" x="31"/>
        <item m="1" x="52"/>
        <item m="1" x="100"/>
        <item m="1" x="78"/>
        <item m="1" x="105"/>
        <item m="1" x="21"/>
        <item m="1" x="148"/>
        <item m="1" x="149"/>
        <item m="1" x="115"/>
        <item m="1" x="94"/>
        <item m="1" x="16"/>
        <item m="1" x="58"/>
        <item m="1" x="47"/>
        <item m="1" x="76"/>
        <item m="1" x="30"/>
        <item m="1" x="64"/>
        <item m="1" x="150"/>
        <item m="1" x="170"/>
        <item m="1" x="156"/>
        <item m="1" x="28"/>
        <item m="1" x="122"/>
        <item m="1" x="139"/>
        <item m="1" x="33"/>
        <item m="1" x="74"/>
        <item m="1" x="134"/>
        <item m="1" x="61"/>
        <item m="1" x="20"/>
        <item m="1" x="177"/>
        <item m="1" x="56"/>
        <item m="1" x="181"/>
        <item m="1" x="81"/>
        <item m="1" x="32"/>
        <item m="1" x="169"/>
        <item m="1" x="121"/>
        <item m="1" x="41"/>
        <item m="1" x="131"/>
        <item m="1" x="29"/>
        <item m="1" x="167"/>
        <item m="1" x="166"/>
        <item m="1" x="124"/>
        <item m="1" x="38"/>
        <item m="1" x="161"/>
        <item m="1" x="60"/>
        <item m="1" x="165"/>
        <item m="1" x="153"/>
        <item m="1" x="44"/>
        <item m="1" x="43"/>
        <item m="1" x="45"/>
        <item m="1" x="85"/>
        <item m="1" x="97"/>
        <item m="1" x="132"/>
        <item m="1" x="174"/>
        <item m="1" x="51"/>
        <item m="1" x="53"/>
        <item m="1" x="107"/>
        <item m="1" x="128"/>
        <item m="1" x="101"/>
        <item m="1" x="55"/>
        <item m="1" x="89"/>
        <item m="1" x="49"/>
        <item m="1" x="27"/>
        <item m="1" x="102"/>
        <item m="1" x="86"/>
        <item m="1" x="127"/>
        <item m="1" x="110"/>
        <item m="1" x="141"/>
        <item m="1" x="62"/>
        <item m="1" x="172"/>
        <item m="1" x="71"/>
        <item m="1" x="84"/>
        <item m="1" x="87"/>
        <item m="1" x="154"/>
        <item m="1" x="57"/>
        <item m="1" x="68"/>
        <item m="1" x="106"/>
        <item m="1" x="99"/>
        <item m="1" x="37"/>
        <item m="1" x="36"/>
        <item m="1" x="12"/>
        <item m="1" x="117"/>
        <item m="1" x="164"/>
        <item m="1" x="96"/>
        <item m="1" x="17"/>
        <item m="1" x="35"/>
        <item m="1" x="90"/>
        <item m="1" x="152"/>
        <item m="1" x="91"/>
        <item m="1" x="80"/>
        <item m="1" x="123"/>
        <item m="1" x="65"/>
        <item m="1" x="79"/>
        <item m="1" x="34"/>
        <item m="1" x="155"/>
        <item m="1" x="15"/>
        <item x="1"/>
        <item x="6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name="C. Unit."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5"/>
    <field x="1"/>
    <field x="25"/>
  </rowFields>
  <rowItems count="9">
    <i>
      <x v="1"/>
      <x v="180"/>
      <x v="9"/>
      <x v="25"/>
    </i>
    <i>
      <x v="5"/>
      <x v="24"/>
      <x v="14"/>
      <x v="41"/>
    </i>
    <i>
      <x v="6"/>
      <x v="6"/>
      <x v="12"/>
      <x v="41"/>
    </i>
    <i>
      <x v="8"/>
      <x v="12"/>
      <x v="27"/>
      <x v="11"/>
    </i>
    <i>
      <x v="10"/>
      <x v="12"/>
      <x/>
      <x v="42"/>
    </i>
    <i>
      <x v="15"/>
      <x v="65"/>
      <x v="20"/>
      <x v="18"/>
    </i>
    <i>
      <x v="16"/>
      <x v="181"/>
      <x v="5"/>
      <x v="4"/>
    </i>
    <i>
      <x v="18"/>
      <x v="31"/>
      <x v="7"/>
      <x v="17"/>
    </i>
    <i t="grand">
      <x/>
    </i>
  </rowItems>
  <colItems count="1">
    <i/>
  </colItems>
  <dataFields count="1">
    <dataField name="Suma de Nota Viernes" fld="17" baseField="0" baseItem="0"/>
  </dataFields>
  <formats count="7">
    <format dxfId="703">
      <pivotArea outline="0" collapsedLevelsAreSubtotals="1" fieldPosition="0"/>
    </format>
    <format dxfId="702">
      <pivotArea type="topRight" dataOnly="0" labelOnly="1" outline="0" fieldPosition="0"/>
    </format>
    <format dxfId="701">
      <pivotArea field="0" type="button" dataOnly="0" labelOnly="1" outline="0" axis="axisRow" fieldPosition="0"/>
    </format>
    <format dxfId="700">
      <pivotArea dataOnly="0" labelOnly="1" outline="0" fieldPosition="0">
        <references count="1">
          <reference field="0" count="0"/>
        </references>
      </pivotArea>
    </format>
    <format dxfId="699">
      <pivotArea type="origin" dataOnly="0" labelOnly="1" outline="0" fieldPosition="0"/>
    </format>
    <format dxfId="698">
      <pivotArea dataOnly="0" labelOnly="1" grandRow="1" outline="0" fieldPosition="0"/>
    </format>
    <format dxfId="697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TablaDinámica9" cacheId="1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1:F21" firstHeaderRow="2" firstDataRow="2" firstDataCol="4"/>
  <pivotFields count="29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axis="axisRow" compact="0" outline="0" showAll="0" defaultSubtotal="0">
      <items count="195">
        <item h="1" x="0"/>
        <item m="1" x="179"/>
        <item x="5"/>
        <item h="1" x="9"/>
        <item x="1"/>
        <item m="1" x="117"/>
        <item m="1" x="187"/>
        <item m="1" x="52"/>
        <item m="1" x="183"/>
        <item m="1" x="69"/>
        <item m="1" x="89"/>
        <item m="1" x="169"/>
        <item m="1" x="136"/>
        <item m="1" x="76"/>
        <item m="1" x="44"/>
        <item m="1" x="125"/>
        <item m="1" x="64"/>
        <item m="1" x="23"/>
        <item m="1" x="60"/>
        <item m="1" x="130"/>
        <item m="1" x="94"/>
        <item x="6"/>
        <item m="1" x="68"/>
        <item x="2"/>
        <item m="1" x="121"/>
        <item m="1" x="17"/>
        <item m="1" x="161"/>
        <item m="1" x="18"/>
        <item m="1" x="157"/>
        <item m="1" x="162"/>
        <item m="1" x="129"/>
        <item m="1" x="14"/>
        <item x="3"/>
        <item m="1" x="31"/>
        <item m="1" x="80"/>
        <item m="1" x="106"/>
        <item m="1" x="137"/>
        <item m="1" x="30"/>
        <item m="1" x="124"/>
        <item m="1" x="11"/>
        <item m="1" x="34"/>
        <item m="1" x="91"/>
        <item m="1" x="152"/>
        <item m="1" x="120"/>
        <item m="1" x="36"/>
        <item m="1" x="170"/>
        <item m="1" x="159"/>
        <item m="1" x="110"/>
        <item m="1" x="86"/>
        <item m="1" x="127"/>
        <item m="1" x="38"/>
        <item m="1" x="141"/>
        <item m="1" x="166"/>
        <item m="1" x="128"/>
        <item m="1" x="12"/>
        <item m="1" x="84"/>
        <item m="1" x="81"/>
        <item m="1" x="150"/>
        <item m="1" x="188"/>
        <item m="1" x="168"/>
        <item m="1" x="25"/>
        <item m="1" x="147"/>
        <item m="1" x="48"/>
        <item m="1" x="56"/>
        <item m="1" x="123"/>
        <item m="1" x="78"/>
        <item m="1" x="177"/>
        <item m="1" x="26"/>
        <item m="1" x="66"/>
        <item m="1" x="22"/>
        <item m="1" x="15"/>
        <item m="1" x="29"/>
        <item m="1" x="151"/>
        <item m="1" x="184"/>
        <item m="1" x="139"/>
        <item m="1" x="101"/>
        <item m="1" x="73"/>
        <item m="1" x="122"/>
        <item m="1" x="47"/>
        <item m="1" x="153"/>
        <item m="1" x="92"/>
        <item m="1" x="138"/>
        <item x="7"/>
        <item m="1" x="21"/>
        <item m="1" x="51"/>
        <item m="1" x="40"/>
        <item m="1" x="173"/>
        <item m="1" x="63"/>
        <item m="1" x="88"/>
        <item x="8"/>
        <item m="1" x="115"/>
        <item m="1" x="24"/>
        <item m="1" x="77"/>
        <item m="1" x="83"/>
        <item m="1" x="72"/>
        <item m="1" x="114"/>
        <item m="1" x="65"/>
        <item m="1" x="176"/>
        <item m="1" x="112"/>
        <item m="1" x="178"/>
        <item m="1" x="49"/>
        <item m="1" x="189"/>
        <item m="1" x="156"/>
        <item m="1" x="140"/>
        <item m="1" x="113"/>
        <item m="1" x="149"/>
        <item m="1" x="85"/>
        <item m="1" x="27"/>
        <item m="1" x="192"/>
        <item m="1" x="37"/>
        <item m="1" x="100"/>
        <item m="1" x="109"/>
        <item m="1" x="90"/>
        <item m="1" x="74"/>
        <item m="1" x="185"/>
        <item m="1" x="171"/>
        <item m="1" x="194"/>
        <item m="1" x="50"/>
        <item m="1" x="144"/>
        <item m="1" x="28"/>
        <item m="1" x="39"/>
        <item m="1" x="131"/>
        <item m="1" x="158"/>
        <item m="1" x="191"/>
        <item m="1" x="58"/>
        <item m="1" x="46"/>
        <item m="1" x="79"/>
        <item m="1" x="70"/>
        <item m="1" x="175"/>
        <item m="1" x="10"/>
        <item m="1" x="163"/>
        <item m="1" x="54"/>
        <item m="1" x="53"/>
        <item m="1" x="55"/>
        <item m="1" x="155"/>
        <item m="1" x="93"/>
        <item m="1" x="105"/>
        <item m="1" x="167"/>
        <item m="1" x="148"/>
        <item m="1" x="182"/>
        <item m="1" x="164"/>
        <item m="1" x="143"/>
        <item m="1" x="118"/>
        <item m="1" x="97"/>
        <item m="1" x="59"/>
        <item m="1" x="32"/>
        <item m="1" x="111"/>
        <item m="1" x="142"/>
        <item m="1" x="126"/>
        <item m="1" x="154"/>
        <item m="1" x="75"/>
        <item m="1" x="180"/>
        <item m="1" x="145"/>
        <item m="1" x="82"/>
        <item m="1" x="102"/>
        <item m="1" x="132"/>
        <item m="1" x="134"/>
        <item m="1" x="96"/>
        <item m="1" x="165"/>
        <item m="1" x="67"/>
        <item m="1" x="160"/>
        <item m="1" x="42"/>
        <item m="1" x="35"/>
        <item m="1" x="99"/>
        <item m="1" x="116"/>
        <item m="1" x="107"/>
        <item m="1" x="45"/>
        <item m="1" x="13"/>
        <item m="1" x="33"/>
        <item m="1" x="174"/>
        <item m="1" x="104"/>
        <item m="1" x="19"/>
        <item m="1" x="43"/>
        <item m="1" x="87"/>
        <item m="1" x="135"/>
        <item m="1" x="71"/>
        <item m="1" x="41"/>
        <item m="1" x="181"/>
        <item m="1" x="61"/>
        <item m="1" x="16"/>
        <item m="1" x="186"/>
        <item m="1" x="119"/>
        <item m="1" x="108"/>
        <item m="1" x="103"/>
        <item m="1" x="62"/>
        <item m="1" x="172"/>
        <item m="1" x="95"/>
        <item m="1" x="57"/>
        <item m="1" x="20"/>
        <item m="1" x="133"/>
        <item m="1" x="193"/>
        <item m="1" x="190"/>
        <item m="1" x="146"/>
        <item m="1" x="98"/>
        <item x="4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name="C. Unit."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6"/>
    <field x="1"/>
    <field x="25"/>
  </rowFields>
  <rowItems count="9">
    <i>
      <x v="1"/>
      <x v="4"/>
      <x v="9"/>
      <x v="25"/>
    </i>
    <i>
      <x v="5"/>
      <x v="23"/>
      <x v="14"/>
      <x v="41"/>
    </i>
    <i>
      <x v="10"/>
      <x v="32"/>
      <x/>
      <x v="42"/>
    </i>
    <i>
      <x v="14"/>
      <x v="194"/>
      <x v="19"/>
      <x v="43"/>
    </i>
    <i>
      <x v="15"/>
      <x v="2"/>
      <x v="20"/>
      <x v="18"/>
    </i>
    <i>
      <x v="16"/>
      <x v="21"/>
      <x v="5"/>
      <x v="4"/>
    </i>
    <i>
      <x v="18"/>
      <x v="82"/>
      <x v="7"/>
      <x v="17"/>
    </i>
    <i>
      <x v="21"/>
      <x v="89"/>
      <x v="21"/>
      <x v="27"/>
    </i>
    <i t="grand">
      <x/>
    </i>
  </rowItems>
  <colItems count="1">
    <i/>
  </colItems>
  <dataFields count="1">
    <dataField name="Suma de Nota Sabado" fld="19" baseField="0" baseItem="0"/>
  </dataFields>
  <formats count="7">
    <format dxfId="696">
      <pivotArea outline="0" collapsedLevelsAreSubtotals="1" fieldPosition="0"/>
    </format>
    <format dxfId="695">
      <pivotArea type="topRight" dataOnly="0" labelOnly="1" outline="0" fieldPosition="0"/>
    </format>
    <format dxfId="694">
      <pivotArea field="0" type="button" dataOnly="0" labelOnly="1" outline="0" axis="axisRow" fieldPosition="0"/>
    </format>
    <format dxfId="693">
      <pivotArea dataOnly="0" labelOnly="1" outline="0" fieldPosition="0">
        <references count="1">
          <reference field="0" count="0"/>
        </references>
      </pivotArea>
    </format>
    <format dxfId="692">
      <pivotArea type="origin" dataOnly="0" labelOnly="1" outline="0" fieldPosition="0"/>
    </format>
    <format dxfId="691">
      <pivotArea dataOnly="0" labelOnly="1" grandRow="1" outline="0" fieldPosition="0"/>
    </format>
    <format dxfId="69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TablaDinámica9" cacheId="1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1:F21" firstHeaderRow="2" firstDataRow="2" firstDataCol="4"/>
  <pivotFields count="29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77">
        <item h="1" x="0"/>
        <item h="1" x="9"/>
        <item m="1" x="147"/>
        <item m="1" x="62"/>
        <item m="1" x="171"/>
        <item m="1" x="69"/>
        <item m="1" x="49"/>
        <item m="1" x="138"/>
        <item m="1" x="115"/>
        <item m="1" x="142"/>
        <item m="1" x="173"/>
        <item m="1" x="76"/>
        <item m="1" x="141"/>
        <item m="1" x="116"/>
        <item x="6"/>
        <item m="1" x="83"/>
        <item m="1" x="112"/>
        <item m="1" x="99"/>
        <item x="7"/>
        <item m="1" x="129"/>
        <item m="1" x="60"/>
        <item m="1" x="155"/>
        <item m="1" x="33"/>
        <item m="1" x="29"/>
        <item m="1" x="169"/>
        <item m="1" x="143"/>
        <item x="3"/>
        <item m="1" x="37"/>
        <item m="1" x="119"/>
        <item m="1" x="97"/>
        <item m="1" x="162"/>
        <item m="1" x="27"/>
        <item m="1" x="59"/>
        <item m="1" x="164"/>
        <item m="1" x="25"/>
        <item m="1" x="61"/>
        <item m="1" x="82"/>
        <item m="1" x="28"/>
        <item m="1" x="137"/>
        <item m="1" x="63"/>
        <item m="1" x="167"/>
        <item m="1" x="126"/>
        <item m="1" x="92"/>
        <item m="1" x="78"/>
        <item m="1" x="17"/>
        <item x="4"/>
        <item m="1" x="45"/>
        <item m="1" x="172"/>
        <item x="8"/>
        <item m="1" x="35"/>
        <item m="1" x="157"/>
        <item m="1" x="55"/>
        <item x="5"/>
        <item m="1" x="85"/>
        <item m="1" x="81"/>
        <item m="1" x="57"/>
        <item m="1" x="26"/>
        <item m="1" x="68"/>
        <item m="1" x="75"/>
        <item m="1" x="66"/>
        <item m="1" x="70"/>
        <item m="1" x="125"/>
        <item m="1" x="132"/>
        <item m="1" x="50"/>
        <item m="1" x="23"/>
        <item m="1" x="34"/>
        <item m="1" x="24"/>
        <item m="1" x="107"/>
        <item m="1" x="58"/>
        <item m="1" x="103"/>
        <item m="1" x="30"/>
        <item m="1" x="15"/>
        <item m="1" x="127"/>
        <item m="1" x="153"/>
        <item m="1" x="102"/>
        <item m="1" x="152"/>
        <item m="1" x="77"/>
        <item m="1" x="79"/>
        <item m="1" x="12"/>
        <item m="1" x="133"/>
        <item m="1" x="47"/>
        <item m="1" x="154"/>
        <item m="1" x="72"/>
        <item m="1" x="87"/>
        <item m="1" x="156"/>
        <item m="1" x="128"/>
        <item m="1" x="74"/>
        <item m="1" x="131"/>
        <item m="1" x="104"/>
        <item m="1" x="32"/>
        <item m="1" x="161"/>
        <item m="1" x="120"/>
        <item m="1" x="43"/>
        <item m="1" x="160"/>
        <item m="1" x="64"/>
        <item m="1" x="159"/>
        <item m="1" x="11"/>
        <item m="1" x="149"/>
        <item m="1" x="39"/>
        <item m="1" x="48"/>
        <item m="1" x="46"/>
        <item m="1" x="117"/>
        <item m="1" x="134"/>
        <item m="1" x="98"/>
        <item m="1" x="136"/>
        <item m="1" x="168"/>
        <item m="1" x="150"/>
        <item m="1" x="110"/>
        <item m="1" x="20"/>
        <item m="1" x="80"/>
        <item m="1" x="145"/>
        <item m="1" x="19"/>
        <item m="1" x="105"/>
        <item m="1" x="89"/>
        <item x="2"/>
        <item m="1" x="51"/>
        <item m="1" x="44"/>
        <item m="1" x="56"/>
        <item m="1" x="86"/>
        <item m="1" x="130"/>
        <item m="1" x="114"/>
        <item m="1" x="140"/>
        <item m="1" x="67"/>
        <item m="1" x="16"/>
        <item m="1" x="73"/>
        <item m="1" x="95"/>
        <item m="1" x="93"/>
        <item m="1" x="121"/>
        <item m="1" x="84"/>
        <item m="1" x="88"/>
        <item m="1" x="151"/>
        <item m="1" x="13"/>
        <item m="1" x="176"/>
        <item m="1" x="38"/>
        <item m="1" x="31"/>
        <item m="1" x="91"/>
        <item m="1" x="106"/>
        <item m="1" x="100"/>
        <item m="1" x="111"/>
        <item m="1" x="42"/>
        <item m="1" x="41"/>
        <item m="1" x="14"/>
        <item m="1" x="122"/>
        <item m="1" x="118"/>
        <item m="1" x="158"/>
        <item m="1" x="22"/>
        <item m="1" x="90"/>
        <item m="1" x="148"/>
        <item m="1" x="53"/>
        <item m="1" x="135"/>
        <item m="1" x="94"/>
        <item m="1" x="124"/>
        <item m="1" x="139"/>
        <item m="1" x="65"/>
        <item m="1" x="36"/>
        <item m="1" x="166"/>
        <item m="1" x="174"/>
        <item m="1" x="165"/>
        <item m="1" x="54"/>
        <item m="1" x="113"/>
        <item m="1" x="18"/>
        <item m="1" x="170"/>
        <item m="1" x="108"/>
        <item m="1" x="101"/>
        <item m="1" x="96"/>
        <item m="1" x="109"/>
        <item m="1" x="21"/>
        <item m="1" x="123"/>
        <item m="1" x="144"/>
        <item m="1" x="40"/>
        <item m="1" x="146"/>
        <item m="1" x="163"/>
        <item m="1" x="175"/>
        <item m="1" x="10"/>
        <item m="1" x="52"/>
        <item m="1" x="71"/>
        <item x="1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outline="0" showAll="0"/>
    <pivotField name="C. Unit."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7"/>
    <field x="1"/>
    <field x="25"/>
  </rowFields>
  <rowItems count="9">
    <i>
      <x v="4"/>
      <x v="176"/>
      <x v="25"/>
      <x v="13"/>
    </i>
    <i>
      <x v="5"/>
      <x v="114"/>
      <x v="14"/>
      <x v="41"/>
    </i>
    <i>
      <x v="8"/>
      <x v="26"/>
      <x v="27"/>
      <x v="11"/>
    </i>
    <i>
      <x v="14"/>
      <x v="45"/>
      <x v="19"/>
      <x v="43"/>
    </i>
    <i>
      <x v="15"/>
      <x v="52"/>
      <x v="20"/>
      <x v="18"/>
    </i>
    <i>
      <x v="16"/>
      <x v="14"/>
      <x v="5"/>
      <x v="4"/>
    </i>
    <i>
      <x v="18"/>
      <x v="18"/>
      <x v="7"/>
      <x v="17"/>
    </i>
    <i>
      <x v="23"/>
      <x v="48"/>
      <x v="23"/>
      <x v="34"/>
    </i>
    <i t="grand">
      <x/>
    </i>
  </rowItems>
  <colItems count="1">
    <i/>
  </colItems>
  <dataFields count="1">
    <dataField name="Suma de Nota Domingo" fld="21" baseField="0" baseItem="0"/>
  </dataFields>
  <formats count="7">
    <format dxfId="689">
      <pivotArea outline="0" collapsedLevelsAreSubtotals="1" fieldPosition="0"/>
    </format>
    <format dxfId="688">
      <pivotArea type="topRight" dataOnly="0" labelOnly="1" outline="0" fieldPosition="0"/>
    </format>
    <format dxfId="687">
      <pivotArea field="0" type="button" dataOnly="0" labelOnly="1" outline="0" axis="axisRow" fieldPosition="0"/>
    </format>
    <format dxfId="686">
      <pivotArea dataOnly="0" labelOnly="1" outline="0" fieldPosition="0">
        <references count="1">
          <reference field="0" count="0"/>
        </references>
      </pivotArea>
    </format>
    <format dxfId="685">
      <pivotArea type="origin" dataOnly="0" labelOnly="1" outline="0" fieldPosition="0"/>
    </format>
    <format dxfId="684">
      <pivotArea dataOnly="0" labelOnly="1" grandRow="1" outline="0" fieldPosition="0"/>
    </format>
    <format dxfId="683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TablaDinámica9" cacheId="1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1:F18" firstHeaderRow="2" firstDataRow="2" firstDataCol="4"/>
  <pivotFields count="29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80">
        <item h="1" x="0"/>
        <item m="1" x="25"/>
        <item h="1" x="6"/>
        <item m="1" x="170"/>
        <item m="1" x="8"/>
        <item m="1" x="158"/>
        <item m="1" x="108"/>
        <item x="1"/>
        <item x="4"/>
        <item m="1" x="114"/>
        <item m="1" x="79"/>
        <item m="1" x="29"/>
        <item m="1" x="19"/>
        <item m="1" x="145"/>
        <item m="1" x="50"/>
        <item m="1" x="169"/>
        <item m="1" x="140"/>
        <item m="1" x="174"/>
        <item m="1" x="125"/>
        <item m="1" x="162"/>
        <item m="1" x="159"/>
        <item m="1" x="147"/>
        <item m="1" x="10"/>
        <item m="1" x="16"/>
        <item m="1" x="138"/>
        <item m="1" x="141"/>
        <item m="1" x="135"/>
        <item m="1" x="37"/>
        <item x="5"/>
        <item m="1" x="71"/>
        <item m="1" x="122"/>
        <item m="1" x="68"/>
        <item m="1" x="56"/>
        <item m="1" x="80"/>
        <item m="1" x="42"/>
        <item m="1" x="164"/>
        <item m="1" x="34"/>
        <item m="1" x="165"/>
        <item m="1" x="21"/>
        <item m="1" x="59"/>
        <item m="1" x="70"/>
        <item m="1" x="53"/>
        <item m="1" x="65"/>
        <item m="1" x="123"/>
        <item m="1" x="129"/>
        <item m="1" x="48"/>
        <item m="1" x="13"/>
        <item m="1" x="143"/>
        <item m="1" x="46"/>
        <item m="1" x="163"/>
        <item m="1" x="161"/>
        <item m="1" x="153"/>
        <item m="1" x="73"/>
        <item m="1" x="69"/>
        <item m="1" x="151"/>
        <item m="1" x="100"/>
        <item m="1" x="20"/>
        <item m="1" x="85"/>
        <item m="1" x="150"/>
        <item m="1" x="72"/>
        <item m="1" x="105"/>
        <item m="1" x="76"/>
        <item m="1" x="75"/>
        <item m="1" x="131"/>
        <item m="1" x="41"/>
        <item m="1" x="12"/>
        <item m="1" x="66"/>
        <item m="1" x="117"/>
        <item m="1" x="38"/>
        <item m="1" x="175"/>
        <item m="1" x="120"/>
        <item m="1" x="111"/>
        <item m="1" x="139"/>
        <item m="1" x="137"/>
        <item m="1" x="23"/>
        <item m="1" x="142"/>
        <item m="1" x="91"/>
        <item m="1" x="49"/>
        <item m="1" x="136"/>
        <item m="1" x="67"/>
        <item m="1" x="22"/>
        <item m="1" x="106"/>
        <item m="1" x="84"/>
        <item m="1" x="152"/>
        <item m="1" x="58"/>
        <item m="1" x="7"/>
        <item m="1" x="149"/>
        <item m="1" x="112"/>
        <item m="1" x="92"/>
        <item m="1" x="36"/>
        <item m="1" x="52"/>
        <item m="1" x="132"/>
        <item m="1" x="97"/>
        <item m="1" x="167"/>
        <item m="1" x="101"/>
        <item m="1" x="177"/>
        <item m="1" x="30"/>
        <item m="1" x="60"/>
        <item m="1" x="88"/>
        <item m="1" x="127"/>
        <item m="1" x="102"/>
        <item m="1" x="130"/>
        <item m="1" x="156"/>
        <item m="1" x="166"/>
        <item m="1" x="82"/>
        <item m="1" x="154"/>
        <item m="1" x="63"/>
        <item m="1" x="39"/>
        <item m="1" x="119"/>
        <item m="1" x="62"/>
        <item m="1" x="87"/>
        <item m="1" x="115"/>
        <item m="1" x="171"/>
        <item m="1" x="86"/>
        <item m="1" x="32"/>
        <item m="1" x="148"/>
        <item m="1" x="90"/>
        <item m="1" x="133"/>
        <item m="1" x="107"/>
        <item m="1" x="98"/>
        <item m="1" x="33"/>
        <item m="1" x="40"/>
        <item m="1" x="9"/>
        <item m="1" x="24"/>
        <item m="1" x="116"/>
        <item m="1" x="81"/>
        <item m="1" x="157"/>
        <item m="1" x="93"/>
        <item m="1" x="96"/>
        <item m="1" x="18"/>
        <item m="1" x="55"/>
        <item m="1" x="77"/>
        <item m="1" x="45"/>
        <item m="1" x="43"/>
        <item m="1" x="134"/>
        <item m="1" x="155"/>
        <item m="1" x="124"/>
        <item m="1" x="83"/>
        <item m="1" x="74"/>
        <item m="1" x="121"/>
        <item m="1" x="51"/>
        <item m="1" x="28"/>
        <item m="1" x="168"/>
        <item m="1" x="113"/>
        <item m="1" x="15"/>
        <item m="1" x="173"/>
        <item m="1" x="109"/>
        <item m="1" x="99"/>
        <item m="1" x="94"/>
        <item m="1" x="144"/>
        <item m="1" x="118"/>
        <item m="1" x="176"/>
        <item m="1" x="57"/>
        <item m="1" x="110"/>
        <item m="1" x="27"/>
        <item m="1" x="17"/>
        <item m="1" x="31"/>
        <item m="1" x="104"/>
        <item m="1" x="146"/>
        <item m="1" x="14"/>
        <item m="1" x="178"/>
        <item m="1" x="26"/>
        <item m="1" x="89"/>
        <item m="1" x="179"/>
        <item m="1" x="44"/>
        <item m="1" x="61"/>
        <item m="1" x="78"/>
        <item m="1" x="54"/>
        <item m="1" x="126"/>
        <item m="1" x="35"/>
        <item m="1" x="95"/>
        <item m="1" x="172"/>
        <item m="1" x="160"/>
        <item m="1" x="128"/>
        <item m="1" x="64"/>
        <item m="1" x="103"/>
        <item x="3"/>
        <item m="1" x="47"/>
        <item m="1" x="11"/>
        <item x="2"/>
      </items>
    </pivotField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name="C. Unit."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8"/>
    <field x="1"/>
    <field x="25"/>
  </rowFields>
  <rowItems count="6">
    <i>
      <x v="1"/>
      <x v="7"/>
      <x v="9"/>
      <x v="25"/>
    </i>
    <i>
      <x v="5"/>
      <x v="179"/>
      <x v="14"/>
      <x v="41"/>
    </i>
    <i>
      <x v="15"/>
      <x v="176"/>
      <x v="20"/>
      <x v="18"/>
    </i>
    <i>
      <x v="16"/>
      <x v="8"/>
      <x v="5"/>
      <x v="4"/>
    </i>
    <i>
      <x v="18"/>
      <x v="28"/>
      <x v="7"/>
      <x v="17"/>
    </i>
    <i t="grand">
      <x/>
    </i>
  </rowItems>
  <colItems count="1">
    <i/>
  </colItems>
  <dataFields count="1">
    <dataField name="Suma de Nota Lunes" fld="23" baseField="0" baseItem="0"/>
  </dataFields>
  <formats count="7">
    <format dxfId="682">
      <pivotArea outline="0" collapsedLevelsAreSubtotals="1" fieldPosition="0"/>
    </format>
    <format dxfId="681">
      <pivotArea type="topRight" dataOnly="0" labelOnly="1" outline="0" fieldPosition="0"/>
    </format>
    <format dxfId="680">
      <pivotArea field="0" type="button" dataOnly="0" labelOnly="1" outline="0" axis="axisRow" fieldPosition="0"/>
    </format>
    <format dxfId="679">
      <pivotArea dataOnly="0" labelOnly="1" outline="0" fieldPosition="0">
        <references count="1">
          <reference field="0" count="0"/>
        </references>
      </pivotArea>
    </format>
    <format dxfId="678">
      <pivotArea type="origin" dataOnly="0" labelOnly="1" outline="0" fieldPosition="0"/>
    </format>
    <format dxfId="677">
      <pivotArea dataOnly="0" labelOnly="1" grandRow="1" outline="0" fieldPosition="0"/>
    </format>
    <format dxfId="676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0000000}" name="TablaDinámica9" cacheId="0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1:F24" firstHeaderRow="2" firstDataRow="2" firstDataCol="4"/>
  <pivotFields count="29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axis="axisRow" compact="0" outline="0" showAll="0" defaultSubtotal="0">
      <items count="169">
        <item h="1" x="0"/>
        <item h="1" x="10"/>
        <item m="1" x="80"/>
        <item m="1" x="96"/>
        <item m="1" x="92"/>
        <item m="1" x="100"/>
        <item m="1" x="148"/>
        <item m="1" x="130"/>
        <item m="1" x="47"/>
        <item m="1" x="45"/>
        <item m="1" x="88"/>
        <item m="1" x="73"/>
        <item m="1" x="152"/>
        <item m="1" x="35"/>
        <item m="1" x="158"/>
        <item x="8"/>
        <item x="4"/>
        <item m="1" x="102"/>
        <item m="1" x="57"/>
        <item m="1" x="55"/>
        <item m="1" x="13"/>
        <item m="1" x="61"/>
        <item m="1" x="60"/>
        <item m="1" x="34"/>
        <item x="9"/>
        <item m="1" x="59"/>
        <item m="1" x="165"/>
        <item m="1" x="128"/>
        <item m="1" x="19"/>
        <item m="1" x="67"/>
        <item m="1" x="124"/>
        <item m="1" x="159"/>
        <item m="1" x="33"/>
        <item m="1" x="162"/>
        <item m="1" x="95"/>
        <item m="1" x="25"/>
        <item m="1" x="51"/>
        <item m="1" x="98"/>
        <item m="1" x="82"/>
        <item m="1" x="129"/>
        <item m="1" x="125"/>
        <item m="1" x="138"/>
        <item m="1" x="119"/>
        <item m="1" x="104"/>
        <item m="1" x="116"/>
        <item m="1" x="87"/>
        <item m="1" x="76"/>
        <item m="1" x="157"/>
        <item m="1" x="106"/>
        <item m="1" x="168"/>
        <item m="1" x="89"/>
        <item m="1" x="112"/>
        <item m="1" x="38"/>
        <item m="1" x="132"/>
        <item m="1" x="11"/>
        <item m="1" x="146"/>
        <item m="1" x="147"/>
        <item m="1" x="150"/>
        <item m="1" x="40"/>
        <item m="1" x="18"/>
        <item m="1" x="23"/>
        <item m="1" x="140"/>
        <item m="1" x="41"/>
        <item m="1" x="65"/>
        <item m="1" x="69"/>
        <item m="1" x="26"/>
        <item m="1" x="108"/>
        <item m="1" x="120"/>
        <item m="1" x="68"/>
        <item m="1" x="21"/>
        <item m="1" x="30"/>
        <item m="1" x="122"/>
        <item m="1" x="58"/>
        <item m="1" x="91"/>
        <item m="1" x="110"/>
        <item m="1" x="155"/>
        <item m="1" x="31"/>
        <item m="1" x="154"/>
        <item m="1" x="131"/>
        <item m="1" x="53"/>
        <item m="1" x="144"/>
        <item m="1" x="54"/>
        <item m="1" x="42"/>
        <item m="1" x="161"/>
        <item m="1" x="70"/>
        <item m="1" x="84"/>
        <item m="1" x="81"/>
        <item m="1" x="151"/>
        <item m="1" x="118"/>
        <item m="1" x="164"/>
        <item m="1" x="20"/>
        <item m="1" x="109"/>
        <item x="6"/>
        <item m="1" x="17"/>
        <item m="1" x="90"/>
        <item m="1" x="166"/>
        <item m="1" x="56"/>
        <item m="1" x="37"/>
        <item m="1" x="145"/>
        <item m="1" x="12"/>
        <item m="1" x="64"/>
        <item m="1" x="27"/>
        <item m="1" x="93"/>
        <item m="1" x="114"/>
        <item m="1" x="63"/>
        <item m="1" x="16"/>
        <item m="1" x="133"/>
        <item m="1" x="137"/>
        <item m="1" x="66"/>
        <item m="1" x="79"/>
        <item m="1" x="136"/>
        <item m="1" x="29"/>
        <item m="1" x="135"/>
        <item m="1" x="111"/>
        <item m="1" x="142"/>
        <item m="1" x="75"/>
        <item m="1" x="28"/>
        <item m="1" x="71"/>
        <item m="1" x="22"/>
        <item m="1" x="77"/>
        <item x="7"/>
        <item m="1" x="97"/>
        <item m="1" x="52"/>
        <item m="1" x="123"/>
        <item m="1" x="85"/>
        <item m="1" x="139"/>
        <item m="1" x="49"/>
        <item m="1" x="143"/>
        <item m="1" x="167"/>
        <item m="1" x="163"/>
        <item m="1" x="105"/>
        <item m="1" x="99"/>
        <item m="1" x="103"/>
        <item m="1" x="78"/>
        <item m="1" x="127"/>
        <item m="1" x="14"/>
        <item m="1" x="160"/>
        <item m="1" x="62"/>
        <item m="1" x="72"/>
        <item m="1" x="74"/>
        <item m="1" x="113"/>
        <item m="1" x="149"/>
        <item m="1" x="50"/>
        <item m="1" x="121"/>
        <item m="1" x="153"/>
        <item m="1" x="141"/>
        <item m="1" x="32"/>
        <item m="1" x="39"/>
        <item m="1" x="83"/>
        <item m="1" x="15"/>
        <item m="1" x="48"/>
        <item m="1" x="43"/>
        <item m="1" x="117"/>
        <item m="1" x="86"/>
        <item m="1" x="94"/>
        <item m="1" x="115"/>
        <item m="1" x="156"/>
        <item m="1" x="36"/>
        <item m="1" x="46"/>
        <item m="1" x="101"/>
        <item m="1" x="126"/>
        <item m="1" x="134"/>
        <item m="1" x="44"/>
        <item m="1" x="107"/>
        <item m="1" x="24"/>
        <item x="1"/>
        <item x="2"/>
        <item x="3"/>
        <item x="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name="C. Unit."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2"/>
    <field x="1"/>
    <field x="25"/>
  </rowFields>
  <rowItems count="12">
    <i>
      <x v="5"/>
      <x v="165"/>
      <x v="14"/>
      <x v="41"/>
    </i>
    <i>
      <x v="6"/>
      <x v="166"/>
      <x v="12"/>
      <x v="41"/>
    </i>
    <i>
      <x v="8"/>
      <x v="167"/>
      <x v="27"/>
      <x v="11"/>
    </i>
    <i>
      <x v="14"/>
      <x v="16"/>
      <x v="19"/>
      <x v="43"/>
    </i>
    <i>
      <x v="15"/>
      <x v="168"/>
      <x v="20"/>
      <x v="18"/>
    </i>
    <i>
      <x v="16"/>
      <x v="92"/>
      <x v="5"/>
      <x v="4"/>
    </i>
    <i>
      <x v="17"/>
      <x v="120"/>
      <x v="6"/>
      <x v="44"/>
    </i>
    <i>
      <x v="18"/>
      <x v="15"/>
      <x v="7"/>
      <x v="17"/>
    </i>
    <i>
      <x v="19"/>
      <x v="15"/>
      <x v="8"/>
      <x v="34"/>
    </i>
    <i>
      <x v="22"/>
      <x v="15"/>
      <x v="22"/>
      <x v="7"/>
    </i>
    <i>
      <x v="23"/>
      <x v="24"/>
      <x v="23"/>
      <x v="34"/>
    </i>
    <i t="grand">
      <x/>
    </i>
  </rowItems>
  <colItems count="1">
    <i/>
  </colItems>
  <dataFields count="1">
    <dataField name="Suma de Nota Martes" fld="11" baseField="0" baseItem="0" numFmtId="164"/>
  </dataFields>
  <formats count="7">
    <format dxfId="675">
      <pivotArea outline="0" collapsedLevelsAreSubtotals="1" fieldPosition="0"/>
    </format>
    <format dxfId="674">
      <pivotArea type="topRight" dataOnly="0" labelOnly="1" outline="0" fieldPosition="0"/>
    </format>
    <format dxfId="673">
      <pivotArea field="0" type="button" dataOnly="0" labelOnly="1" outline="0" axis="axisRow" fieldPosition="0"/>
    </format>
    <format dxfId="672">
      <pivotArea dataOnly="0" labelOnly="1" outline="0" fieldPosition="0">
        <references count="1">
          <reference field="0" count="0"/>
        </references>
      </pivotArea>
    </format>
    <format dxfId="671">
      <pivotArea type="origin" dataOnly="0" labelOnly="1" outline="0" fieldPosition="0"/>
    </format>
    <format dxfId="670">
      <pivotArea dataOnly="0" labelOnly="1" grandRow="1" outline="0" fieldPosition="0"/>
    </format>
    <format dxfId="669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0000000}" name="TablaDinámica9" cacheId="0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1:F20" firstHeaderRow="2" firstDataRow="2" firstDataCol="4"/>
  <pivotFields count="29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compact="0" outline="0" showAll="0" defaultSubtotal="0"/>
    <pivotField axis="axisRow" compact="0" outline="0" showAll="0" defaultSubtotal="0">
      <items count="167">
        <item h="1" x="0"/>
        <item m="1" x="51"/>
        <item h="1" x="8"/>
        <item m="1" x="79"/>
        <item m="1" x="45"/>
        <item m="1" x="56"/>
        <item m="1" x="153"/>
        <item m="1" x="37"/>
        <item m="1" x="124"/>
        <item m="1" x="140"/>
        <item m="1" x="106"/>
        <item m="1" x="41"/>
        <item m="1" x="122"/>
        <item m="1" x="147"/>
        <item m="1" x="81"/>
        <item m="1" x="10"/>
        <item m="1" x="77"/>
        <item m="1" x="62"/>
        <item m="1" x="23"/>
        <item m="1" x="160"/>
        <item m="1" x="134"/>
        <item m="1" x="145"/>
        <item m="1" x="76"/>
        <item m="1" x="80"/>
        <item m="1" x="86"/>
        <item m="1" x="100"/>
        <item m="1" x="103"/>
        <item m="1" x="120"/>
        <item m="1" x="117"/>
        <item m="1" x="135"/>
        <item m="1" x="60"/>
        <item m="1" x="42"/>
        <item m="1" x="17"/>
        <item m="1" x="166"/>
        <item m="1" x="133"/>
        <item x="6"/>
        <item x="4"/>
        <item m="1" x="72"/>
        <item m="1" x="161"/>
        <item m="1" x="63"/>
        <item m="1" x="69"/>
        <item m="1" x="12"/>
        <item m="1" x="162"/>
        <item m="1" x="123"/>
        <item m="1" x="121"/>
        <item m="1" x="21"/>
        <item m="1" x="110"/>
        <item m="1" x="46"/>
        <item m="1" x="13"/>
        <item m="1" x="16"/>
        <item m="1" x="22"/>
        <item m="1" x="130"/>
        <item m="1" x="68"/>
        <item m="1" x="157"/>
        <item m="1" x="116"/>
        <item m="1" x="31"/>
        <item m="1" x="112"/>
        <item m="1" x="155"/>
        <item m="1" x="105"/>
        <item m="1" x="55"/>
        <item m="1" x="71"/>
        <item m="1" x="29"/>
        <item m="1" x="149"/>
        <item m="1" x="39"/>
        <item m="1" x="65"/>
        <item m="1" x="97"/>
        <item m="1" x="24"/>
        <item m="1" x="40"/>
        <item m="1" x="163"/>
        <item m="1" x="127"/>
        <item m="1" x="96"/>
        <item m="1" x="114"/>
        <item m="1" x="108"/>
        <item m="1" x="91"/>
        <item m="1" x="142"/>
        <item m="1" x="136"/>
        <item m="1" x="148"/>
        <item m="1" x="49"/>
        <item m="1" x="156"/>
        <item m="1" x="113"/>
        <item m="1" x="58"/>
        <item m="1" x="36"/>
        <item m="1" x="19"/>
        <item m="1" x="20"/>
        <item m="1" x="95"/>
        <item m="1" x="151"/>
        <item m="1" x="61"/>
        <item m="1" x="44"/>
        <item m="1" x="146"/>
        <item m="1" x="14"/>
        <item m="1" x="70"/>
        <item m="1" x="25"/>
        <item m="1" x="67"/>
        <item m="1" x="33"/>
        <item m="1" x="18"/>
        <item m="1" x="159"/>
        <item m="1" x="85"/>
        <item m="1" x="139"/>
        <item m="1" x="158"/>
        <item m="1" x="88"/>
        <item m="1" x="138"/>
        <item m="1" x="115"/>
        <item m="1" x="87"/>
        <item m="1" x="34"/>
        <item m="1" x="82"/>
        <item m="1" x="126"/>
        <item m="1" x="50"/>
        <item m="1" x="57"/>
        <item m="1" x="129"/>
        <item m="1" x="98"/>
        <item m="1" x="47"/>
        <item m="1" x="143"/>
        <item m="1" x="74"/>
        <item m="1" x="152"/>
        <item m="1" x="109"/>
        <item m="1" x="104"/>
        <item m="1" x="107"/>
        <item m="1" x="83"/>
        <item m="1" x="132"/>
        <item m="1" x="111"/>
        <item m="1" x="27"/>
        <item m="1" x="15"/>
        <item m="1" x="66"/>
        <item m="1" x="78"/>
        <item m="1" x="9"/>
        <item m="1" x="164"/>
        <item m="1" x="102"/>
        <item m="1" x="11"/>
        <item m="1" x="154"/>
        <item m="1" x="54"/>
        <item m="1" x="119"/>
        <item m="1" x="48"/>
        <item m="1" x="73"/>
        <item m="1" x="84"/>
        <item m="1" x="38"/>
        <item m="1" x="52"/>
        <item m="1" x="59"/>
        <item m="1" x="137"/>
        <item m="1" x="92"/>
        <item m="1" x="89"/>
        <item m="1" x="32"/>
        <item m="1" x="118"/>
        <item m="1" x="128"/>
        <item m="1" x="144"/>
        <item m="1" x="90"/>
        <item m="1" x="165"/>
        <item m="1" x="43"/>
        <item m="1" x="64"/>
        <item m="1" x="28"/>
        <item m="1" x="131"/>
        <item m="1" x="53"/>
        <item m="1" x="94"/>
        <item m="1" x="26"/>
        <item x="1"/>
        <item m="1" x="141"/>
        <item m="1" x="35"/>
        <item m="1" x="30"/>
        <item m="1" x="125"/>
        <item m="1" x="93"/>
        <item x="2"/>
        <item m="1" x="101"/>
        <item m="1" x="75"/>
        <item m="1" x="99"/>
        <item m="1" x="150"/>
        <item x="3"/>
        <item x="5"/>
        <item x="7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name="C. Unit."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3"/>
    <field x="1"/>
    <field x="25"/>
  </rowFields>
  <rowItems count="8">
    <i>
      <x v="5"/>
      <x v="153"/>
      <x v="14"/>
      <x v="41"/>
    </i>
    <i>
      <x v="6"/>
      <x v="159"/>
      <x v="12"/>
      <x v="41"/>
    </i>
    <i>
      <x v="8"/>
      <x v="164"/>
      <x v="27"/>
      <x v="11"/>
    </i>
    <i>
      <x v="10"/>
      <x v="36"/>
      <x/>
      <x v="42"/>
    </i>
    <i>
      <x v="15"/>
      <x v="165"/>
      <x v="20"/>
      <x v="18"/>
    </i>
    <i>
      <x v="16"/>
      <x v="35"/>
      <x v="5"/>
      <x v="4"/>
    </i>
    <i>
      <x v="17"/>
      <x v="166"/>
      <x v="6"/>
      <x v="44"/>
    </i>
    <i t="grand">
      <x/>
    </i>
  </rowItems>
  <colItems count="1">
    <i/>
  </colItems>
  <dataFields count="1">
    <dataField name="Suma de Nota Miercoles" fld="13" baseField="0" baseItem="0"/>
  </dataFields>
  <formats count="7">
    <format dxfId="668">
      <pivotArea outline="0" collapsedLevelsAreSubtotals="1" fieldPosition="0"/>
    </format>
    <format dxfId="667">
      <pivotArea type="topRight" dataOnly="0" labelOnly="1" outline="0" fieldPosition="0"/>
    </format>
    <format dxfId="666">
      <pivotArea field="0" type="button" dataOnly="0" labelOnly="1" outline="0" axis="axisRow" fieldPosition="0"/>
    </format>
    <format dxfId="665">
      <pivotArea dataOnly="0" labelOnly="1" outline="0" fieldPosition="0">
        <references count="1">
          <reference field="0" count="0"/>
        </references>
      </pivotArea>
    </format>
    <format dxfId="664">
      <pivotArea type="origin" dataOnly="0" labelOnly="1" outline="0" fieldPosition="0"/>
    </format>
    <format dxfId="663">
      <pivotArea dataOnly="0" labelOnly="1" grandRow="1" outline="0" fieldPosition="0"/>
    </format>
    <format dxfId="662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0000000}" name="TablaDinámica9" cacheId="0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1:F23" firstHeaderRow="2" firstDataRow="2" firstDataCol="4"/>
  <pivotFields count="29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compact="0" outline="0" showAll="0" defaultSubtotal="0"/>
    <pivotField compact="0" outline="0" showAll="0"/>
    <pivotField axis="axisRow" compact="0" outline="0" showAll="0" defaultSubtotal="0">
      <items count="164">
        <item h="1" x="0"/>
        <item h="1" x="11"/>
        <item m="1" x="14"/>
        <item m="1" x="130"/>
        <item m="1" x="58"/>
        <item m="1" x="151"/>
        <item m="1" x="161"/>
        <item x="1"/>
        <item m="1" x="81"/>
        <item m="1" x="154"/>
        <item m="1" x="70"/>
        <item m="1" x="33"/>
        <item m="1" x="65"/>
        <item m="1" x="95"/>
        <item m="1" x="158"/>
        <item m="1" x="90"/>
        <item m="1" x="152"/>
        <item m="1" x="117"/>
        <item m="1" x="107"/>
        <item m="1" x="52"/>
        <item m="1" x="89"/>
        <item x="5"/>
        <item x="4"/>
        <item m="1" x="39"/>
        <item m="1" x="84"/>
        <item m="1" x="101"/>
        <item m="1" x="78"/>
        <item m="1" x="111"/>
        <item m="1" x="80"/>
        <item m="1" x="47"/>
        <item m="1" x="92"/>
        <item m="1" x="162"/>
        <item m="1" x="69"/>
        <item m="1" x="131"/>
        <item m="1" x="120"/>
        <item m="1" x="122"/>
        <item m="1" x="55"/>
        <item m="1" x="110"/>
        <item m="1" x="59"/>
        <item m="1" x="96"/>
        <item m="1" x="144"/>
        <item m="1" x="23"/>
        <item m="1" x="50"/>
        <item m="1" x="20"/>
        <item m="1" x="26"/>
        <item m="1" x="25"/>
        <item x="10"/>
        <item m="1" x="17"/>
        <item m="1" x="91"/>
        <item m="1" x="18"/>
        <item m="1" x="104"/>
        <item m="1" x="127"/>
        <item m="1" x="115"/>
        <item m="1" x="51"/>
        <item m="1" x="155"/>
        <item m="1" x="40"/>
        <item m="1" x="123"/>
        <item m="1" x="66"/>
        <item m="1" x="125"/>
        <item m="1" x="142"/>
        <item m="1" x="13"/>
        <item m="1" x="106"/>
        <item m="1" x="29"/>
        <item m="1" x="28"/>
        <item m="1" x="112"/>
        <item m="1" x="145"/>
        <item m="1" x="135"/>
        <item m="1" x="160"/>
        <item m="1" x="32"/>
        <item m="1" x="79"/>
        <item m="1" x="94"/>
        <item m="1" x="53"/>
        <item m="1" x="19"/>
        <item m="1" x="153"/>
        <item x="2"/>
        <item m="1" x="83"/>
        <item m="1" x="113"/>
        <item m="1" x="37"/>
        <item m="1" x="41"/>
        <item m="1" x="22"/>
        <item m="1" x="109"/>
        <item x="8"/>
        <item m="1" x="133"/>
        <item m="1" x="150"/>
        <item m="1" x="48"/>
        <item m="1" x="147"/>
        <item m="1" x="143"/>
        <item m="1" x="88"/>
        <item m="1" x="63"/>
        <item m="1" x="24"/>
        <item m="1" x="31"/>
        <item m="1" x="114"/>
        <item m="1" x="119"/>
        <item m="1" x="62"/>
        <item m="1" x="156"/>
        <item m="1" x="77"/>
        <item m="1" x="141"/>
        <item m="1" x="43"/>
        <item m="1" x="129"/>
        <item m="1" x="137"/>
        <item m="1" x="38"/>
        <item m="1" x="139"/>
        <item m="1" x="118"/>
        <item m="1" x="146"/>
        <item m="1" x="16"/>
        <item m="1" x="85"/>
        <item m="1" x="121"/>
        <item m="1" x="56"/>
        <item m="1" x="61"/>
        <item m="1" x="163"/>
        <item m="1" x="126"/>
        <item m="1" x="44"/>
        <item m="1" x="99"/>
        <item m="1" x="76"/>
        <item m="1" x="136"/>
        <item m="1" x="159"/>
        <item m="1" x="128"/>
        <item m="1" x="35"/>
        <item m="1" x="108"/>
        <item m="1" x="42"/>
        <item m="1" x="67"/>
        <item m="1" x="34"/>
        <item m="1" x="68"/>
        <item m="1" x="45"/>
        <item m="1" x="86"/>
        <item m="1" x="82"/>
        <item m="1" x="132"/>
        <item m="1" x="116"/>
        <item m="1" x="103"/>
        <item m="1" x="15"/>
        <item m="1" x="60"/>
        <item m="1" x="75"/>
        <item m="1" x="87"/>
        <item m="1" x="100"/>
        <item m="1" x="72"/>
        <item m="1" x="71"/>
        <item m="1" x="12"/>
        <item m="1" x="36"/>
        <item m="1" x="74"/>
        <item m="1" x="54"/>
        <item m="1" x="105"/>
        <item m="1" x="134"/>
        <item m="1" x="140"/>
        <item m="1" x="124"/>
        <item m="1" x="93"/>
        <item m="1" x="46"/>
        <item m="1" x="30"/>
        <item x="6"/>
        <item m="1" x="57"/>
        <item m="1" x="27"/>
        <item m="1" x="102"/>
        <item m="1" x="97"/>
        <item m="1" x="21"/>
        <item m="1" x="138"/>
        <item m="1" x="148"/>
        <item m="1" x="98"/>
        <item m="1" x="157"/>
        <item m="1" x="149"/>
        <item m="1" x="73"/>
        <item m="1" x="64"/>
        <item m="1" x="49"/>
        <item x="3"/>
        <item x="7"/>
        <item x="9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name="C. Unit."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4"/>
    <field x="1"/>
    <field x="25"/>
  </rowFields>
  <rowItems count="11">
    <i>
      <x v="2"/>
      <x v="7"/>
      <x v="15"/>
      <x v="40"/>
    </i>
    <i>
      <x v="5"/>
      <x v="74"/>
      <x v="14"/>
      <x v="41"/>
    </i>
    <i>
      <x v="6"/>
      <x v="161"/>
      <x v="12"/>
      <x v="41"/>
    </i>
    <i>
      <x v="10"/>
      <x v="22"/>
      <x/>
      <x v="42"/>
    </i>
    <i>
      <x v="15"/>
      <x v="21"/>
      <x v="20"/>
      <x v="18"/>
    </i>
    <i>
      <x v="16"/>
      <x v="147"/>
      <x v="5"/>
      <x v="4"/>
    </i>
    <i>
      <x v="18"/>
      <x v="162"/>
      <x v="7"/>
      <x v="17"/>
    </i>
    <i>
      <x v="21"/>
      <x v="81"/>
      <x v="21"/>
      <x v="27"/>
    </i>
    <i>
      <x v="22"/>
      <x v="163"/>
      <x v="22"/>
      <x v="7"/>
    </i>
    <i>
      <x v="23"/>
      <x v="46"/>
      <x v="23"/>
      <x v="34"/>
    </i>
    <i t="grand">
      <x/>
    </i>
  </rowItems>
  <colItems count="1">
    <i/>
  </colItems>
  <dataFields count="1">
    <dataField name="Suma de Nota Jueves" fld="15" baseField="0" baseItem="0"/>
  </dataFields>
  <formats count="7">
    <format dxfId="661">
      <pivotArea outline="0" collapsedLevelsAreSubtotals="1" fieldPosition="0"/>
    </format>
    <format dxfId="660">
      <pivotArea type="topRight" dataOnly="0" labelOnly="1" outline="0" fieldPosition="0"/>
    </format>
    <format dxfId="659">
      <pivotArea field="0" type="button" dataOnly="0" labelOnly="1" outline="0" axis="axisRow" fieldPosition="0"/>
    </format>
    <format dxfId="658">
      <pivotArea dataOnly="0" labelOnly="1" outline="0" fieldPosition="0">
        <references count="1">
          <reference field="0" count="0"/>
        </references>
      </pivotArea>
    </format>
    <format dxfId="657">
      <pivotArea type="origin" dataOnly="0" labelOnly="1" outline="0" fieldPosition="0"/>
    </format>
    <format dxfId="656">
      <pivotArea dataOnly="0" labelOnly="1" grandRow="1" outline="0" fieldPosition="0"/>
    </format>
    <format dxfId="655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0000000}" name="TablaDinámica9" cacheId="0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1:F21" firstHeaderRow="2" firstDataRow="2" firstDataCol="4"/>
  <pivotFields count="29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compact="0" outline="0" showAll="0" defaultSubtotal="0"/>
    <pivotField compact="0" outline="0" showAll="0"/>
    <pivotField compact="0" outline="0" showAll="0"/>
    <pivotField axis="axisRow" compact="0" outline="0" showAll="0" defaultSubtotal="0">
      <items count="168">
        <item h="1" x="0"/>
        <item m="1" x="150"/>
        <item m="1" x="98"/>
        <item h="1" x="9"/>
        <item m="1" x="153"/>
        <item m="1" x="26"/>
        <item m="1" x="54"/>
        <item x="7"/>
        <item m="1" x="111"/>
        <item m="1" x="114"/>
        <item m="1" x="75"/>
        <item m="1" x="126"/>
        <item x="1"/>
        <item m="1" x="115"/>
        <item m="1" x="49"/>
        <item m="1" x="165"/>
        <item m="1" x="156"/>
        <item m="1" x="88"/>
        <item m="1" x="81"/>
        <item m="1" x="42"/>
        <item m="1" x="70"/>
        <item m="1" x="95"/>
        <item m="1" x="161"/>
        <item m="1" x="90"/>
        <item m="1" x="67"/>
        <item m="1" x="128"/>
        <item m="1" x="32"/>
        <item m="1" x="35"/>
        <item m="1" x="105"/>
        <item m="1" x="134"/>
        <item m="1" x="19"/>
        <item m="1" x="38"/>
        <item m="1" x="103"/>
        <item m="1" x="121"/>
        <item m="1" x="142"/>
        <item m="1" x="92"/>
        <item m="1" x="119"/>
        <item m="1" x="56"/>
        <item m="1" x="116"/>
        <item m="1" x="74"/>
        <item m="1" x="55"/>
        <item m="1" x="50"/>
        <item m="1" x="151"/>
        <item m="1" x="39"/>
        <item m="1" x="149"/>
        <item m="1" x="97"/>
        <item m="1" x="16"/>
        <item m="1" x="73"/>
        <item m="1" x="30"/>
        <item x="2"/>
        <item m="1" x="127"/>
        <item m="1" x="104"/>
        <item m="1" x="154"/>
        <item m="1" x="101"/>
        <item m="1" x="46"/>
        <item m="1" x="86"/>
        <item m="1" x="52"/>
        <item m="1" x="18"/>
        <item m="1" x="131"/>
        <item m="1" x="43"/>
        <item m="1" x="102"/>
        <item m="1" x="144"/>
        <item m="1" x="27"/>
        <item m="1" x="106"/>
        <item x="6"/>
        <item m="1" x="148"/>
        <item m="1" x="51"/>
        <item m="1" x="166"/>
        <item m="1" x="13"/>
        <item m="1" x="113"/>
        <item m="1" x="57"/>
        <item m="1" x="163"/>
        <item m="1" x="80"/>
        <item m="1" x="61"/>
        <item m="1" x="21"/>
        <item m="1" x="65"/>
        <item m="1" x="145"/>
        <item m="1" x="107"/>
        <item m="1" x="82"/>
        <item m="1" x="15"/>
        <item m="1" x="112"/>
        <item m="1" x="141"/>
        <item m="1" x="159"/>
        <item m="1" x="85"/>
        <item m="1" x="69"/>
        <item m="1" x="157"/>
        <item m="1" x="36"/>
        <item m="1" x="64"/>
        <item m="1" x="125"/>
        <item m="1" x="94"/>
        <item m="1" x="10"/>
        <item m="1" x="137"/>
        <item m="1" x="78"/>
        <item m="1" x="110"/>
        <item m="1" x="53"/>
        <item m="1" x="76"/>
        <item m="1" x="66"/>
        <item m="1" x="25"/>
        <item m="1" x="99"/>
        <item m="1" x="58"/>
        <item m="1" x="37"/>
        <item m="1" x="164"/>
        <item m="1" x="120"/>
        <item m="1" x="44"/>
        <item m="1" x="135"/>
        <item m="1" x="20"/>
        <item m="1" x="162"/>
        <item m="1" x="123"/>
        <item m="1" x="146"/>
        <item m="1" x="124"/>
        <item m="1" x="155"/>
        <item m="1" x="12"/>
        <item m="1" x="47"/>
        <item m="1" x="45"/>
        <item m="1" x="40"/>
        <item m="1" x="33"/>
        <item m="1" x="158"/>
        <item m="1" x="108"/>
        <item m="1" x="11"/>
        <item x="8"/>
        <item m="1" x="117"/>
        <item m="1" x="14"/>
        <item m="1" x="59"/>
        <item m="1" x="93"/>
        <item m="1" x="68"/>
        <item m="1" x="84"/>
        <item m="1" x="140"/>
        <item m="1" x="72"/>
        <item m="1" x="132"/>
        <item m="1" x="138"/>
        <item m="1" x="91"/>
        <item m="1" x="48"/>
        <item m="1" x="31"/>
        <item m="1" x="41"/>
        <item m="1" x="62"/>
        <item m="1" x="77"/>
        <item m="1" x="28"/>
        <item m="1" x="83"/>
        <item m="1" x="139"/>
        <item m="1" x="109"/>
        <item m="1" x="24"/>
        <item m="1" x="152"/>
        <item m="1" x="29"/>
        <item m="1" x="96"/>
        <item m="1" x="122"/>
        <item m="1" x="87"/>
        <item m="1" x="22"/>
        <item m="1" x="34"/>
        <item m="1" x="167"/>
        <item m="1" x="17"/>
        <item m="1" x="136"/>
        <item m="1" x="143"/>
        <item m="1" x="147"/>
        <item m="1" x="133"/>
        <item m="1" x="79"/>
        <item m="1" x="23"/>
        <item m="1" x="63"/>
        <item m="1" x="89"/>
        <item m="1" x="100"/>
        <item m="1" x="60"/>
        <item m="1" x="160"/>
        <item x="3"/>
        <item m="1" x="71"/>
        <item m="1" x="130"/>
        <item m="1" x="118"/>
        <item m="1" x="129"/>
        <item x="4"/>
        <item x="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name="C. Unit."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5"/>
    <field x="1"/>
    <field x="25"/>
  </rowFields>
  <rowItems count="9">
    <i>
      <x v="1"/>
      <x v="12"/>
      <x v="9"/>
      <x v="25"/>
    </i>
    <i>
      <x v="5"/>
      <x v="49"/>
      <x v="14"/>
      <x v="41"/>
    </i>
    <i>
      <x v="6"/>
      <x v="161"/>
      <x v="12"/>
      <x v="41"/>
    </i>
    <i>
      <x v="8"/>
      <x v="166"/>
      <x v="27"/>
      <x v="11"/>
    </i>
    <i>
      <x v="10"/>
      <x v="167"/>
      <x/>
      <x v="42"/>
    </i>
    <i>
      <x v="15"/>
      <x v="64"/>
      <x v="20"/>
      <x v="18"/>
    </i>
    <i>
      <x v="16"/>
      <x v="7"/>
      <x v="5"/>
      <x v="4"/>
    </i>
    <i>
      <x v="18"/>
      <x v="119"/>
      <x v="7"/>
      <x v="17"/>
    </i>
    <i t="grand">
      <x/>
    </i>
  </rowItems>
  <colItems count="1">
    <i/>
  </colItems>
  <dataFields count="1">
    <dataField name="Suma de Nota Viernes" fld="17" baseField="0" baseItem="0"/>
  </dataFields>
  <formats count="7">
    <format dxfId="654">
      <pivotArea outline="0" collapsedLevelsAreSubtotals="1" fieldPosition="0"/>
    </format>
    <format dxfId="653">
      <pivotArea type="topRight" dataOnly="0" labelOnly="1" outline="0" fieldPosition="0"/>
    </format>
    <format dxfId="652">
      <pivotArea field="0" type="button" dataOnly="0" labelOnly="1" outline="0" axis="axisRow" fieldPosition="0"/>
    </format>
    <format dxfId="651">
      <pivotArea dataOnly="0" labelOnly="1" outline="0" fieldPosition="0">
        <references count="1">
          <reference field="0" count="0"/>
        </references>
      </pivotArea>
    </format>
    <format dxfId="650">
      <pivotArea type="origin" dataOnly="0" labelOnly="1" outline="0" fieldPosition="0"/>
    </format>
    <format dxfId="649">
      <pivotArea dataOnly="0" labelOnly="1" grandRow="1" outline="0" fieldPosition="0"/>
    </format>
    <format dxfId="648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0000000}" name="TablaDinámica9" cacheId="0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1:F21" firstHeaderRow="2" firstDataRow="2" firstDataCol="4"/>
  <pivotFields count="29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axis="axisRow" compact="0" outline="0" showAll="0" defaultSubtotal="0">
      <items count="188">
        <item h="1" x="0"/>
        <item m="1" x="167"/>
        <item m="1" x="107"/>
        <item h="1" x="9"/>
        <item m="1" x="83"/>
        <item m="1" x="72"/>
        <item m="1" x="158"/>
        <item m="1" x="60"/>
        <item m="1" x="111"/>
        <item m="1" x="89"/>
        <item m="1" x="97"/>
        <item m="1" x="177"/>
        <item m="1" x="31"/>
        <item m="1" x="165"/>
        <item m="1" x="38"/>
        <item m="1" x="120"/>
        <item m="1" x="157"/>
        <item m="1" x="156"/>
        <item m="1" x="139"/>
        <item m="1" x="172"/>
        <item m="1" x="77"/>
        <item m="1" x="100"/>
        <item m="1" x="117"/>
        <item m="1" x="185"/>
        <item m="1" x="23"/>
        <item m="1" x="33"/>
        <item m="1" x="34"/>
        <item m="1" x="56"/>
        <item m="1" x="173"/>
        <item m="1" x="147"/>
        <item m="1" x="130"/>
        <item m="1" x="151"/>
        <item m="1" x="141"/>
        <item m="1" x="108"/>
        <item m="1" x="58"/>
        <item m="1" x="64"/>
        <item m="1" x="20"/>
        <item m="1" x="43"/>
        <item m="1" x="145"/>
        <item m="1" x="122"/>
        <item m="1" x="17"/>
        <item m="1" x="134"/>
        <item m="1" x="127"/>
        <item m="1" x="80"/>
        <item m="1" x="50"/>
        <item x="4"/>
        <item m="1" x="48"/>
        <item m="1" x="71"/>
        <item m="1" x="112"/>
        <item m="1" x="84"/>
        <item m="1" x="169"/>
        <item m="1" x="110"/>
        <item m="1" x="53"/>
        <item m="1" x="61"/>
        <item m="1" x="113"/>
        <item m="1" x="76"/>
        <item m="1" x="140"/>
        <item m="1" x="75"/>
        <item m="1" x="19"/>
        <item m="1" x="182"/>
        <item m="1" x="10"/>
        <item m="1" x="175"/>
        <item m="1" x="52"/>
        <item x="3"/>
        <item m="1" x="62"/>
        <item m="1" x="82"/>
        <item m="1" x="45"/>
        <item m="1" x="90"/>
        <item m="1" x="119"/>
        <item m="1" x="154"/>
        <item m="1" x="99"/>
        <item m="1" x="24"/>
        <item m="1" x="103"/>
        <item m="1" x="73"/>
        <item m="1" x="37"/>
        <item m="1" x="47"/>
        <item m="1" x="161"/>
        <item m="1" x="184"/>
        <item m="1" x="18"/>
        <item m="1" x="126"/>
        <item m="1" x="114"/>
        <item m="1" x="181"/>
        <item m="1" x="98"/>
        <item m="1" x="176"/>
        <item m="1" x="102"/>
        <item m="1" x="142"/>
        <item m="1" x="174"/>
        <item m="1" x="22"/>
        <item m="1" x="51"/>
        <item m="1" x="123"/>
        <item m="1" x="106"/>
        <item m="1" x="152"/>
        <item m="1" x="11"/>
        <item m="1" x="149"/>
        <item m="1" x="148"/>
        <item m="1" x="118"/>
        <item m="1" x="13"/>
        <item m="1" x="54"/>
        <item m="1" x="81"/>
        <item m="1" x="92"/>
        <item m="1" x="105"/>
        <item m="1" x="27"/>
        <item m="1" x="109"/>
        <item m="1" x="129"/>
        <item m="1" x="186"/>
        <item m="1" x="29"/>
        <item m="1" x="144"/>
        <item m="1" x="41"/>
        <item m="1" x="12"/>
        <item m="1" x="28"/>
        <item m="1" x="59"/>
        <item m="1" x="143"/>
        <item m="1" x="180"/>
        <item m="1" x="166"/>
        <item m="1" x="170"/>
        <item m="1" x="162"/>
        <item m="1" x="133"/>
        <item m="1" x="21"/>
        <item m="1" x="39"/>
        <item m="1" x="14"/>
        <item m="1" x="40"/>
        <item m="1" x="87"/>
        <item m="1" x="15"/>
        <item m="1" x="49"/>
        <item m="1" x="164"/>
        <item m="1" x="42"/>
        <item m="1" x="79"/>
        <item m="1" x="115"/>
        <item m="1" x="183"/>
        <item m="1" x="44"/>
        <item m="1" x="121"/>
        <item m="1" x="69"/>
        <item m="1" x="132"/>
        <item m="1" x="25"/>
        <item m="1" x="171"/>
        <item m="1" x="116"/>
        <item m="1" x="57"/>
        <item m="1" x="86"/>
        <item m="1" x="70"/>
        <item m="1" x="74"/>
        <item m="1" x="138"/>
        <item m="1" x="94"/>
        <item m="1" x="153"/>
        <item m="1" x="155"/>
        <item m="1" x="95"/>
        <item m="1" x="137"/>
        <item m="1" x="150"/>
        <item m="1" x="179"/>
        <item m="1" x="93"/>
        <item m="1" x="66"/>
        <item m="1" x="36"/>
        <item m="1" x="65"/>
        <item m="1" x="187"/>
        <item m="1" x="128"/>
        <item m="1" x="26"/>
        <item m="1" x="168"/>
        <item m="1" x="131"/>
        <item m="1" x="96"/>
        <item m="1" x="46"/>
        <item m="1" x="30"/>
        <item m="1" x="88"/>
        <item m="1" x="85"/>
        <item m="1" x="159"/>
        <item m="1" x="32"/>
        <item m="1" x="163"/>
        <item m="1" x="78"/>
        <item m="1" x="135"/>
        <item m="1" x="55"/>
        <item m="1" x="67"/>
        <item m="1" x="101"/>
        <item m="1" x="35"/>
        <item m="1" x="160"/>
        <item m="1" x="91"/>
        <item m="1" x="16"/>
        <item m="1" x="125"/>
        <item m="1" x="136"/>
        <item m="1" x="104"/>
        <item m="1" x="146"/>
        <item m="1" x="63"/>
        <item x="1"/>
        <item m="1" x="68"/>
        <item m="1" x="178"/>
        <item m="1" x="124"/>
        <item x="2"/>
        <item x="5"/>
        <item x="7"/>
        <item x="8"/>
        <item x="6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name="C. Unit."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6"/>
    <field x="1"/>
    <field x="25"/>
  </rowFields>
  <rowItems count="9">
    <i>
      <x v="1"/>
      <x v="179"/>
      <x v="9"/>
      <x v="25"/>
    </i>
    <i>
      <x v="5"/>
      <x v="183"/>
      <x v="14"/>
      <x v="41"/>
    </i>
    <i>
      <x v="10"/>
      <x v="63"/>
      <x/>
      <x v="42"/>
    </i>
    <i>
      <x v="14"/>
      <x v="45"/>
      <x v="19"/>
      <x v="43"/>
    </i>
    <i>
      <x v="15"/>
      <x v="184"/>
      <x v="20"/>
      <x v="18"/>
    </i>
    <i>
      <x v="16"/>
      <x v="187"/>
      <x v="5"/>
      <x v="4"/>
    </i>
    <i>
      <x v="18"/>
      <x v="185"/>
      <x v="7"/>
      <x v="17"/>
    </i>
    <i>
      <x v="21"/>
      <x v="186"/>
      <x v="21"/>
      <x v="27"/>
    </i>
    <i t="grand">
      <x/>
    </i>
  </rowItems>
  <colItems count="1">
    <i/>
  </colItems>
  <dataFields count="1">
    <dataField name="Suma de Nota Sabado" fld="19" baseField="0" baseItem="0"/>
  </dataFields>
  <formats count="7">
    <format dxfId="647">
      <pivotArea outline="0" collapsedLevelsAreSubtotals="1" fieldPosition="0"/>
    </format>
    <format dxfId="646">
      <pivotArea type="topRight" dataOnly="0" labelOnly="1" outline="0" fieldPosition="0"/>
    </format>
    <format dxfId="645">
      <pivotArea field="0" type="button" dataOnly="0" labelOnly="1" outline="0" axis="axisRow" fieldPosition="0"/>
    </format>
    <format dxfId="644">
      <pivotArea dataOnly="0" labelOnly="1" outline="0" fieldPosition="0">
        <references count="1">
          <reference field="0" count="0"/>
        </references>
      </pivotArea>
    </format>
    <format dxfId="643">
      <pivotArea type="origin" dataOnly="0" labelOnly="1" outline="0" fieldPosition="0"/>
    </format>
    <format dxfId="642">
      <pivotArea dataOnly="0" labelOnly="1" grandRow="1" outline="0" fieldPosition="0"/>
    </format>
    <format dxfId="64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300-000000000000}" name="TablaDinámica9" cacheId="0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1:F21" firstHeaderRow="2" firstDataRow="2" firstDataCol="4"/>
  <pivotFields count="29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67">
        <item h="1" x="0"/>
        <item h="1" x="9"/>
        <item m="1" x="115"/>
        <item m="1" x="58"/>
        <item x="6"/>
        <item m="1" x="159"/>
        <item m="1" x="73"/>
        <item m="1" x="130"/>
        <item m="1" x="92"/>
        <item m="1" x="47"/>
        <item m="1" x="96"/>
        <item m="1" x="113"/>
        <item m="1" x="54"/>
        <item m="1" x="142"/>
        <item m="1" x="39"/>
        <item m="1" x="74"/>
        <item m="1" x="157"/>
        <item m="1" x="42"/>
        <item m="1" x="55"/>
        <item m="1" x="141"/>
        <item m="1" x="15"/>
        <item m="1" x="153"/>
        <item m="1" x="111"/>
        <item m="1" x="140"/>
        <item m="1" x="107"/>
        <item m="1" x="76"/>
        <item m="1" x="11"/>
        <item m="1" x="101"/>
        <item m="1" x="112"/>
        <item m="1" x="81"/>
        <item m="1" x="129"/>
        <item m="1" x="43"/>
        <item m="1" x="66"/>
        <item m="1" x="69"/>
        <item m="1" x="104"/>
        <item x="8"/>
        <item m="1" x="97"/>
        <item m="1" x="110"/>
        <item m="1" x="12"/>
        <item m="1" x="13"/>
        <item m="1" x="68"/>
        <item m="1" x="14"/>
        <item m="1" x="100"/>
        <item m="1" x="158"/>
        <item m="1" x="22"/>
        <item m="1" x="75"/>
        <item x="7"/>
        <item m="1" x="105"/>
        <item m="1" x="146"/>
        <item m="1" x="95"/>
        <item m="1" x="50"/>
        <item m="1" x="109"/>
        <item m="1" x="117"/>
        <item m="1" x="126"/>
        <item m="1" x="26"/>
        <item m="1" x="125"/>
        <item m="1" x="165"/>
        <item m="1" x="137"/>
        <item m="1" x="29"/>
        <item x="1"/>
        <item m="1" x="48"/>
        <item m="1" x="27"/>
        <item m="1" x="37"/>
        <item m="1" x="45"/>
        <item m="1" x="161"/>
        <item m="1" x="116"/>
        <item m="1" x="121"/>
        <item m="1" x="49"/>
        <item m="1" x="44"/>
        <item m="1" x="31"/>
        <item m="1" x="131"/>
        <item m="1" x="28"/>
        <item m="1" x="166"/>
        <item m="1" x="163"/>
        <item m="1" x="91"/>
        <item m="1" x="150"/>
        <item m="1" x="155"/>
        <item m="1" x="147"/>
        <item m="1" x="98"/>
        <item m="1" x="120"/>
        <item m="1" x="103"/>
        <item m="1" x="56"/>
        <item m="1" x="122"/>
        <item m="1" x="143"/>
        <item m="1" x="16"/>
        <item m="1" x="36"/>
        <item m="1" x="149"/>
        <item m="1" x="23"/>
        <item m="1" x="84"/>
        <item m="1" x="72"/>
        <item m="1" x="106"/>
        <item m="1" x="88"/>
        <item m="1" x="35"/>
        <item m="1" x="40"/>
        <item m="1" x="134"/>
        <item m="1" x="138"/>
        <item m="1" x="63"/>
        <item m="1" x="20"/>
        <item m="1" x="24"/>
        <item m="1" x="156"/>
        <item m="1" x="164"/>
        <item m="1" x="102"/>
        <item m="1" x="33"/>
        <item m="1" x="19"/>
        <item m="1" x="46"/>
        <item m="1" x="162"/>
        <item m="1" x="77"/>
        <item m="1" x="85"/>
        <item m="1" x="80"/>
        <item m="1" x="10"/>
        <item m="1" x="67"/>
        <item m="1" x="30"/>
        <item m="1" x="79"/>
        <item m="1" x="70"/>
        <item m="1" x="118"/>
        <item m="1" x="152"/>
        <item m="1" x="133"/>
        <item m="1" x="127"/>
        <item m="1" x="123"/>
        <item m="1" x="160"/>
        <item m="1" x="51"/>
        <item m="1" x="34"/>
        <item m="1" x="60"/>
        <item m="1" x="135"/>
        <item m="1" x="114"/>
        <item m="1" x="25"/>
        <item m="1" x="154"/>
        <item m="1" x="124"/>
        <item m="1" x="94"/>
        <item m="1" x="41"/>
        <item m="1" x="108"/>
        <item m="1" x="86"/>
        <item m="1" x="21"/>
        <item m="1" x="151"/>
        <item m="1" x="148"/>
        <item m="1" x="99"/>
        <item m="1" x="139"/>
        <item m="1" x="128"/>
        <item m="1" x="78"/>
        <item m="1" x="61"/>
        <item m="1" x="132"/>
        <item m="1" x="64"/>
        <item m="1" x="65"/>
        <item m="1" x="89"/>
        <item m="1" x="144"/>
        <item m="1" x="145"/>
        <item x="4"/>
        <item m="1" x="83"/>
        <item m="1" x="17"/>
        <item m="1" x="119"/>
        <item m="1" x="53"/>
        <item m="1" x="87"/>
        <item m="1" x="90"/>
        <item m="1" x="32"/>
        <item m="1" x="59"/>
        <item m="1" x="62"/>
        <item m="1" x="38"/>
        <item x="5"/>
        <item m="1" x="136"/>
        <item m="1" x="82"/>
        <item m="1" x="93"/>
        <item m="1" x="71"/>
        <item m="1" x="52"/>
        <item m="1" x="57"/>
        <item m="1" x="18"/>
        <item x="2"/>
        <item x="3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outline="0" showAll="0"/>
    <pivotField name="C. Unit."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7"/>
    <field x="1"/>
    <field x="25"/>
  </rowFields>
  <rowItems count="9">
    <i>
      <x v="4"/>
      <x v="59"/>
      <x v="25"/>
      <x v="13"/>
    </i>
    <i>
      <x v="5"/>
      <x v="165"/>
      <x v="14"/>
      <x v="41"/>
    </i>
    <i>
      <x v="8"/>
      <x v="166"/>
      <x v="27"/>
      <x v="11"/>
    </i>
    <i>
      <x v="14"/>
      <x v="146"/>
      <x v="19"/>
      <x v="43"/>
    </i>
    <i>
      <x v="15"/>
      <x v="157"/>
      <x v="20"/>
      <x v="18"/>
    </i>
    <i>
      <x v="16"/>
      <x v="4"/>
      <x v="5"/>
      <x v="4"/>
    </i>
    <i>
      <x v="18"/>
      <x v="46"/>
      <x v="7"/>
      <x v="17"/>
    </i>
    <i>
      <x v="23"/>
      <x v="35"/>
      <x v="23"/>
      <x v="34"/>
    </i>
    <i t="grand">
      <x/>
    </i>
  </rowItems>
  <colItems count="1">
    <i/>
  </colItems>
  <dataFields count="1">
    <dataField name="Suma de Nota Domingo" fld="21" baseField="0" baseItem="0"/>
  </dataFields>
  <formats count="7">
    <format dxfId="640">
      <pivotArea outline="0" collapsedLevelsAreSubtotals="1" fieldPosition="0"/>
    </format>
    <format dxfId="639">
      <pivotArea type="topRight" dataOnly="0" labelOnly="1" outline="0" fieldPosition="0"/>
    </format>
    <format dxfId="638">
      <pivotArea field="0" type="button" dataOnly="0" labelOnly="1" outline="0" axis="axisRow" fieldPosition="0"/>
    </format>
    <format dxfId="637">
      <pivotArea dataOnly="0" labelOnly="1" outline="0" fieldPosition="0">
        <references count="1">
          <reference field="0" count="0"/>
        </references>
      </pivotArea>
    </format>
    <format dxfId="636">
      <pivotArea type="origin" dataOnly="0" labelOnly="1" outline="0" fieldPosition="0"/>
    </format>
    <format dxfId="635">
      <pivotArea dataOnly="0" labelOnly="1" grandRow="1" outline="0" fieldPosition="0"/>
    </format>
    <format dxfId="634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0000000}" name="TablaDinámica9" cacheId="0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1:F19" firstHeaderRow="2" firstDataRow="2" firstDataCol="4"/>
  <pivotFields count="29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85">
        <item h="1" x="0"/>
        <item m="1" x="32"/>
        <item h="1" x="7"/>
        <item m="1" x="171"/>
        <item m="1" x="104"/>
        <item m="1" x="83"/>
        <item m="1" x="50"/>
        <item m="1" x="166"/>
        <item m="1" x="77"/>
        <item m="1" x="53"/>
        <item m="1" x="16"/>
        <item m="1" x="64"/>
        <item m="1" x="127"/>
        <item m="1" x="111"/>
        <item m="1" x="91"/>
        <item m="1" x="143"/>
        <item m="1" x="11"/>
        <item m="1" x="25"/>
        <item m="1" x="177"/>
        <item m="1" x="94"/>
        <item m="1" x="79"/>
        <item m="1" x="96"/>
        <item m="1" x="181"/>
        <item m="1" x="19"/>
        <item m="1" x="66"/>
        <item m="1" x="90"/>
        <item m="1" x="129"/>
        <item m="1" x="18"/>
        <item m="1" x="39"/>
        <item m="1" x="49"/>
        <item m="1" x="76"/>
        <item m="1" x="167"/>
        <item m="1" x="74"/>
        <item m="1" x="57"/>
        <item m="1" x="13"/>
        <item m="1" x="139"/>
        <item m="1" x="155"/>
        <item m="1" x="27"/>
        <item m="1" x="70"/>
        <item m="1" x="68"/>
        <item m="1" x="58"/>
        <item m="1" x="151"/>
        <item m="1" x="133"/>
        <item m="1" x="147"/>
        <item m="1" x="15"/>
        <item m="1" x="121"/>
        <item m="1" x="35"/>
        <item m="1" x="170"/>
        <item m="1" x="85"/>
        <item m="1" x="119"/>
        <item m="1" x="125"/>
        <item m="1" x="52"/>
        <item m="1" x="78"/>
        <item m="1" x="73"/>
        <item m="1" x="60"/>
        <item x="4"/>
        <item m="1" x="130"/>
        <item m="1" x="101"/>
        <item m="1" x="17"/>
        <item m="1" x="102"/>
        <item m="1" x="26"/>
        <item m="1" x="109"/>
        <item m="1" x="108"/>
        <item m="1" x="182"/>
        <item m="1" x="116"/>
        <item m="1" x="178"/>
        <item m="1" x="30"/>
        <item m="1" x="44"/>
        <item m="1" x="29"/>
        <item m="1" x="75"/>
        <item m="1" x="22"/>
        <item m="1" x="97"/>
        <item m="1" x="154"/>
        <item m="1" x="61"/>
        <item m="1" x="160"/>
        <item m="1" x="142"/>
        <item m="1" x="134"/>
        <item m="1" x="46"/>
        <item m="1" x="184"/>
        <item m="1" x="28"/>
        <item m="1" x="87"/>
        <item m="1" x="183"/>
        <item m="1" x="145"/>
        <item m="1" x="8"/>
        <item m="1" x="164"/>
        <item m="1" x="169"/>
        <item m="1" x="45"/>
        <item m="1" x="92"/>
        <item m="1" x="95"/>
        <item m="1" x="42"/>
        <item m="1" x="157"/>
        <item m="1" x="163"/>
        <item m="1" x="47"/>
        <item m="1" x="71"/>
        <item m="1" x="117"/>
        <item m="1" x="136"/>
        <item m="1" x="156"/>
        <item m="1" x="12"/>
        <item m="1" x="55"/>
        <item m="1" x="144"/>
        <item m="1" x="152"/>
        <item m="1" x="69"/>
        <item m="1" x="86"/>
        <item m="1" x="173"/>
        <item m="1" x="37"/>
        <item m="1" x="172"/>
        <item m="1" x="36"/>
        <item m="1" x="48"/>
        <item m="1" x="99"/>
        <item m="1" x="31"/>
        <item m="1" x="84"/>
        <item m="1" x="165"/>
        <item m="1" x="24"/>
        <item m="1" x="180"/>
        <item m="1" x="118"/>
        <item m="1" x="20"/>
        <item m="1" x="59"/>
        <item m="1" x="140"/>
        <item m="1" x="161"/>
        <item m="1" x="9"/>
        <item m="1" x="137"/>
        <item m="1" x="65"/>
        <item m="1" x="98"/>
        <item m="1" x="123"/>
        <item m="1" x="14"/>
        <item m="1" x="146"/>
        <item m="1" x="132"/>
        <item m="1" x="67"/>
        <item m="1" x="82"/>
        <item m="1" x="150"/>
        <item m="1" x="124"/>
        <item m="1" x="10"/>
        <item m="1" x="148"/>
        <item m="1" x="149"/>
        <item m="1" x="122"/>
        <item m="1" x="105"/>
        <item m="1" x="88"/>
        <item m="1" x="43"/>
        <item m="1" x="168"/>
        <item m="1" x="138"/>
        <item m="1" x="54"/>
        <item m="1" x="131"/>
        <item m="1" x="41"/>
        <item m="1" x="153"/>
        <item x="1"/>
        <item m="1" x="179"/>
        <item m="1" x="176"/>
        <item m="1" x="113"/>
        <item m="1" x="114"/>
        <item m="1" x="107"/>
        <item m="1" x="112"/>
        <item m="1" x="80"/>
        <item m="1" x="135"/>
        <item m="1" x="141"/>
        <item m="1" x="40"/>
        <item m="1" x="62"/>
        <item m="1" x="63"/>
        <item m="1" x="120"/>
        <item m="1" x="158"/>
        <item m="1" x="34"/>
        <item m="1" x="38"/>
        <item m="1" x="159"/>
        <item m="1" x="72"/>
        <item m="1" x="51"/>
        <item m="1" x="56"/>
        <item m="1" x="126"/>
        <item m="1" x="89"/>
        <item m="1" x="100"/>
        <item m="1" x="128"/>
        <item m="1" x="175"/>
        <item m="1" x="174"/>
        <item m="1" x="110"/>
        <item m="1" x="162"/>
        <item x="6"/>
        <item m="1" x="23"/>
        <item m="1" x="115"/>
        <item m="1" x="106"/>
        <item m="1" x="33"/>
        <item m="1" x="81"/>
        <item m="1" x="21"/>
        <item m="1" x="103"/>
        <item m="1" x="93"/>
        <item x="2"/>
        <item x="3"/>
        <item x="5"/>
      </items>
    </pivotField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name="C. Unit."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8"/>
    <field x="1"/>
    <field x="25"/>
  </rowFields>
  <rowItems count="7">
    <i>
      <x v="1"/>
      <x v="144"/>
      <x v="9"/>
      <x v="25"/>
    </i>
    <i>
      <x v="5"/>
      <x v="182"/>
      <x v="14"/>
      <x v="41"/>
    </i>
    <i>
      <x v="15"/>
      <x v="183"/>
      <x v="20"/>
      <x v="18"/>
    </i>
    <i>
      <x v="16"/>
      <x v="55"/>
      <x v="5"/>
      <x v="4"/>
    </i>
    <i>
      <x v="17"/>
      <x v="184"/>
      <x v="6"/>
      <x v="44"/>
    </i>
    <i>
      <x v="18"/>
      <x v="173"/>
      <x v="7"/>
      <x v="17"/>
    </i>
    <i t="grand">
      <x/>
    </i>
  </rowItems>
  <colItems count="1">
    <i/>
  </colItems>
  <dataFields count="1">
    <dataField name="Suma de Nota Lunes" fld="23" baseField="0" baseItem="0"/>
  </dataFields>
  <formats count="7">
    <format dxfId="633">
      <pivotArea outline="0" collapsedLevelsAreSubtotals="1" fieldPosition="0"/>
    </format>
    <format dxfId="632">
      <pivotArea type="topRight" dataOnly="0" labelOnly="1" outline="0" fieldPosition="0"/>
    </format>
    <format dxfId="631">
      <pivotArea field="0" type="button" dataOnly="0" labelOnly="1" outline="0" axis="axisRow" fieldPosition="0"/>
    </format>
    <format dxfId="630">
      <pivotArea dataOnly="0" labelOnly="1" outline="0" fieldPosition="0">
        <references count="1">
          <reference field="0" count="0"/>
        </references>
      </pivotArea>
    </format>
    <format dxfId="629">
      <pivotArea type="origin" dataOnly="0" labelOnly="1" outline="0" fieldPosition="0"/>
    </format>
    <format dxfId="628">
      <pivotArea dataOnly="0" labelOnly="1" grandRow="1" outline="0" fieldPosition="0"/>
    </format>
    <format dxfId="627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00000000}" name="TablaDinámica11" cacheId="7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0:F16" firstHeaderRow="2" firstDataRow="2" firstDataCol="4"/>
  <pivotFields count="23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axis="axisRow" compact="0" outline="0" showAll="0" defaultSubtotal="0">
      <items count="22">
        <item h="1" x="0"/>
        <item x="4"/>
        <item m="1" x="9"/>
        <item h="1" x="5"/>
        <item m="1" x="14"/>
        <item m="1" x="20"/>
        <item m="1" x="7"/>
        <item m="1" x="16"/>
        <item x="1"/>
        <item x="2"/>
        <item m="1" x="11"/>
        <item m="1" x="10"/>
        <item m="1" x="6"/>
        <item m="1" x="17"/>
        <item m="1" x="12"/>
        <item m="1" x="13"/>
        <item m="1" x="21"/>
        <item m="1" x="8"/>
        <item m="1" x="18"/>
        <item m="1" x="19"/>
        <item m="1" x="15"/>
        <item x="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2"/>
    <field x="1"/>
    <field x="19"/>
  </rowFields>
  <rowItems count="5">
    <i>
      <x v="5"/>
      <x v="8"/>
      <x v="14"/>
      <x v="41"/>
    </i>
    <i>
      <x v="14"/>
      <x v="9"/>
      <x v="19"/>
      <x v="43"/>
    </i>
    <i>
      <x v="15"/>
      <x v="21"/>
      <x v="20"/>
      <x v="18"/>
    </i>
    <i>
      <x v="16"/>
      <x v="1"/>
      <x v="5"/>
      <x v="4"/>
    </i>
    <i t="grand">
      <x/>
    </i>
  </rowItems>
  <colItems count="1">
    <i/>
  </colItems>
  <dataFields count="1">
    <dataField name="Suma de Nota Lunes" fld="9" baseField="0" baseItem="0" numFmtId="164"/>
  </dataFields>
  <formats count="3">
    <format dxfId="626">
      <pivotArea outline="0" collapsedLevelsAreSubtotals="1" fieldPosition="0"/>
    </format>
    <format dxfId="625">
      <pivotArea type="topRight" dataOnly="0" labelOnly="1" outline="0" fieldPosition="0"/>
    </format>
    <format dxfId="624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00000000}" name="TablaDinámica11" cacheId="7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0:F16" firstHeaderRow="2" firstDataRow="2" firstDataCol="4"/>
  <pivotFields count="23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compact="0" outline="0" showAll="0" defaultSubtotal="0"/>
    <pivotField axis="axisRow" compact="0" outline="0" showAll="0" defaultSubtotal="0">
      <items count="35">
        <item h="1" x="0"/>
        <item m="1" x="15"/>
        <item x="4"/>
        <item m="1" x="26"/>
        <item m="1" x="13"/>
        <item h="1" x="5"/>
        <item x="1"/>
        <item m="1" x="10"/>
        <item m="1" x="24"/>
        <item m="1" x="23"/>
        <item m="1" x="20"/>
        <item x="2"/>
        <item m="1" x="34"/>
        <item m="1" x="8"/>
        <item m="1" x="28"/>
        <item m="1" x="31"/>
        <item m="1" x="14"/>
        <item m="1" x="30"/>
        <item m="1" x="33"/>
        <item m="1" x="19"/>
        <item m="1" x="11"/>
        <item m="1" x="7"/>
        <item m="1" x="25"/>
        <item m="1" x="18"/>
        <item m="1" x="21"/>
        <item m="1" x="29"/>
        <item m="1" x="32"/>
        <item m="1" x="17"/>
        <item m="1" x="6"/>
        <item m="1" x="22"/>
        <item m="1" x="12"/>
        <item m="1" x="9"/>
        <item m="1" x="27"/>
        <item m="1" x="16"/>
        <item x="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3"/>
    <field x="1"/>
    <field x="19"/>
  </rowFields>
  <rowItems count="5">
    <i>
      <x v="1"/>
      <x v="6"/>
      <x v="9"/>
      <x v="25"/>
    </i>
    <i>
      <x v="5"/>
      <x v="11"/>
      <x v="14"/>
      <x v="41"/>
    </i>
    <i>
      <x v="15"/>
      <x v="34"/>
      <x v="20"/>
      <x v="18"/>
    </i>
    <i>
      <x v="16"/>
      <x v="2"/>
      <x v="5"/>
      <x v="4"/>
    </i>
    <i t="grand">
      <x/>
    </i>
  </rowItems>
  <colItems count="1">
    <i/>
  </colItems>
  <dataFields count="1">
    <dataField name="Suma de Nota Martes" fld="11" baseField="0" baseItem="0"/>
  </dataFields>
  <formats count="3">
    <format dxfId="623">
      <pivotArea outline="0" collapsedLevelsAreSubtotals="1" fieldPosition="0"/>
    </format>
    <format dxfId="622">
      <pivotArea type="topRight" dataOnly="0" labelOnly="1" outline="0" fieldPosition="0"/>
    </format>
    <format dxfId="62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700-000000000000}" name="TablaDinámica11" cacheId="7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0:F15" firstHeaderRow="2" firstDataRow="2" firstDataCol="4"/>
  <pivotFields count="23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compact="0" outline="0" showAll="0" defaultSubtotal="0"/>
    <pivotField compact="0" outline="0" showAll="0"/>
    <pivotField axis="axisRow" compact="0" outline="0" showAll="0" defaultSubtotal="0">
      <items count="26">
        <item h="1" x="0"/>
        <item m="1" x="10"/>
        <item m="1" x="17"/>
        <item m="1" x="8"/>
        <item h="1" x="4"/>
        <item m="1" x="7"/>
        <item m="1" x="24"/>
        <item m="1" x="15"/>
        <item m="1" x="6"/>
        <item m="1" x="22"/>
        <item m="1" x="20"/>
        <item m="1" x="14"/>
        <item m="1" x="21"/>
        <item m="1" x="25"/>
        <item m="1" x="5"/>
        <item m="1" x="9"/>
        <item m="1" x="11"/>
        <item m="1" x="23"/>
        <item m="1" x="16"/>
        <item m="1" x="19"/>
        <item x="3"/>
        <item m="1" x="12"/>
        <item m="1" x="18"/>
        <item m="1" x="13"/>
        <item x="2"/>
        <item x="1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4"/>
    <field x="1"/>
    <field x="19"/>
  </rowFields>
  <rowItems count="4">
    <i>
      <x v="5"/>
      <x v="25"/>
      <x v="14"/>
      <x v="41"/>
    </i>
    <i>
      <x v="15"/>
      <x v="24"/>
      <x v="20"/>
      <x v="18"/>
    </i>
    <i>
      <x v="16"/>
      <x v="20"/>
      <x v="5"/>
      <x v="4"/>
    </i>
    <i t="grand">
      <x/>
    </i>
  </rowItems>
  <colItems count="1">
    <i/>
  </colItems>
  <dataFields count="1">
    <dataField name="Suma de Nota Miercoles" fld="13" baseField="0" baseItem="0"/>
  </dataFields>
  <formats count="3">
    <format dxfId="620">
      <pivotArea outline="0" collapsedLevelsAreSubtotals="1" fieldPosition="0"/>
    </format>
    <format dxfId="619">
      <pivotArea type="topRight" dataOnly="0" labelOnly="1" outline="0" fieldPosition="0"/>
    </format>
    <format dxfId="618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0000000}" name="TablaDinámica11" cacheId="7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0:F15" firstHeaderRow="2" firstDataRow="2" firstDataCol="4"/>
  <pivotFields count="23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compact="0" outline="0" showAll="0" defaultSubtotal="0"/>
    <pivotField compact="0" outline="0" showAll="0"/>
    <pivotField compact="0" outline="0" showAll="0"/>
    <pivotField axis="axisRow" compact="0" outline="0" showAll="0" defaultSubtotal="0">
      <items count="27">
        <item h="1" x="0"/>
        <item m="1" x="19"/>
        <item m="1" x="26"/>
        <item m="1" x="6"/>
        <item h="1" x="3"/>
        <item m="1" x="25"/>
        <item m="1" x="24"/>
        <item m="1" x="12"/>
        <item m="1" x="17"/>
        <item x="1"/>
        <item m="1" x="9"/>
        <item m="1" x="20"/>
        <item m="1" x="10"/>
        <item m="1" x="21"/>
        <item m="1" x="11"/>
        <item m="1" x="5"/>
        <item m="1" x="8"/>
        <item m="1" x="15"/>
        <item x="2"/>
        <item m="1" x="13"/>
        <item m="1" x="16"/>
        <item m="1" x="7"/>
        <item m="1" x="4"/>
        <item m="1" x="14"/>
        <item m="1" x="22"/>
        <item m="1" x="18"/>
        <item m="1" x="23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5"/>
    <field x="1"/>
    <field x="19"/>
  </rowFields>
  <rowItems count="4">
    <i>
      <x v="5"/>
      <x v="9"/>
      <x v="14"/>
      <x v="41"/>
    </i>
    <i>
      <x v="10"/>
      <x v="18"/>
      <x/>
      <x v="42"/>
    </i>
    <i>
      <x v="16"/>
      <x v="9"/>
      <x v="5"/>
      <x v="4"/>
    </i>
    <i t="grand">
      <x/>
    </i>
  </rowItems>
  <colItems count="1">
    <i/>
  </colItems>
  <dataFields count="1">
    <dataField name="Suma de Nota Jueves" fld="15" baseField="0" baseItem="0"/>
  </dataFields>
  <formats count="3">
    <format dxfId="617">
      <pivotArea outline="0" collapsedLevelsAreSubtotals="1" fieldPosition="0"/>
    </format>
    <format dxfId="616">
      <pivotArea type="topRight" dataOnly="0" labelOnly="1" outline="0" fieldPosition="0"/>
    </format>
    <format dxfId="615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900-000000000000}" name="TablaDinámica11" cacheId="7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gridDropZones="1" multipleFieldFilters="0">
  <location ref="B10:F14" firstHeaderRow="2" firstDataRow="2" firstDataCol="4"/>
  <pivotFields count="23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28">
        <item x="11"/>
        <item x="12"/>
        <item x="0"/>
        <item x="13"/>
        <item x="14"/>
        <item x="17"/>
        <item x="18"/>
        <item x="19"/>
        <item x="20"/>
        <item x="1"/>
        <item m="1" x="26"/>
        <item x="21"/>
        <item x="7"/>
        <item x="8"/>
        <item x="6"/>
        <item x="2"/>
        <item x="3"/>
        <item m="1" x="27"/>
        <item x="10"/>
        <item x="15"/>
        <item x="16"/>
        <item x="22"/>
        <item x="23"/>
        <item x="24"/>
        <item x="25"/>
        <item x="4"/>
        <item x="5"/>
        <item x="9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axis="axisRow" compact="0" outline="0" showAll="0" defaultSubtotal="0">
      <items count="34">
        <item h="1" x="0"/>
        <item m="1" x="12"/>
        <item m="1" x="24"/>
        <item m="1" x="7"/>
        <item h="1" x="3"/>
        <item x="2"/>
        <item m="1" x="31"/>
        <item m="1" x="22"/>
        <item m="1" x="10"/>
        <item m="1" x="23"/>
        <item m="1" x="29"/>
        <item m="1" x="33"/>
        <item m="1" x="13"/>
        <item m="1" x="6"/>
        <item m="1" x="11"/>
        <item m="1" x="5"/>
        <item m="1" x="8"/>
        <item m="1" x="28"/>
        <item m="1" x="32"/>
        <item m="1" x="20"/>
        <item m="1" x="16"/>
        <item m="1" x="15"/>
        <item m="1" x="14"/>
        <item m="1" x="25"/>
        <item m="1" x="17"/>
        <item m="1" x="21"/>
        <item m="1" x="18"/>
        <item m="1" x="26"/>
        <item m="1" x="27"/>
        <item m="1" x="9"/>
        <item m="1" x="4"/>
        <item m="1" x="30"/>
        <item m="1" x="19"/>
        <item h="1" x="1"/>
      </items>
    </pivotField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axis="axisRow" compact="0" outline="0" showAll="0" defaultSubtotal="0">
      <items count="45">
        <item m="1" x="31"/>
        <item m="1" x="39"/>
        <item m="1" x="43"/>
        <item m="1" x="22"/>
        <item x="14"/>
        <item m="1" x="23"/>
        <item m="1" x="26"/>
        <item x="8"/>
        <item m="1" x="44"/>
        <item m="1" x="36"/>
        <item m="1" x="24"/>
        <item x="7"/>
        <item m="1" x="34"/>
        <item x="4"/>
        <item m="1" x="18"/>
        <item x="5"/>
        <item m="1" x="35"/>
        <item x="10"/>
        <item x="13"/>
        <item m="1" x="33"/>
        <item x="17"/>
        <item m="1" x="41"/>
        <item m="1" x="30"/>
        <item m="1" x="32"/>
        <item m="1" x="27"/>
        <item x="1"/>
        <item m="1" x="40"/>
        <item x="16"/>
        <item m="1" x="28"/>
        <item m="1" x="25"/>
        <item m="1" x="19"/>
        <item m="1" x="42"/>
        <item x="3"/>
        <item m="1" x="29"/>
        <item x="11"/>
        <item m="1" x="20"/>
        <item m="1" x="38"/>
        <item m="1" x="37"/>
        <item m="1" x="21"/>
        <item x="0"/>
        <item x="2"/>
        <item x="6"/>
        <item x="9"/>
        <item x="12"/>
        <item x="15"/>
      </items>
    </pivotField>
    <pivotField compact="0" numFmtId="164" outline="0" showAll="0"/>
    <pivotField compact="0" numFmtId="164" outline="0" showAll="0"/>
    <pivotField compact="0" numFmtId="164" outline="0" showAll="0"/>
  </pivotFields>
  <rowFields count="4">
    <field x="0"/>
    <field x="6"/>
    <field x="1"/>
    <field x="19"/>
  </rowFields>
  <rowItems count="3">
    <i>
      <x v="15"/>
      <x v="5"/>
      <x v="20"/>
      <x v="18"/>
    </i>
    <i>
      <x v="16"/>
      <x v="5"/>
      <x v="5"/>
      <x v="4"/>
    </i>
    <i t="grand">
      <x/>
    </i>
  </rowItems>
  <colItems count="1">
    <i/>
  </colItems>
  <dataFields count="1">
    <dataField name="Suma de Nota Viernes" fld="17" baseField="0" baseItem="0"/>
  </dataFields>
  <formats count="3">
    <format dxfId="614">
      <pivotArea outline="0" collapsedLevelsAreSubtotals="1" fieldPosition="0"/>
    </format>
    <format dxfId="613">
      <pivotArea type="topRight" dataOnly="0" labelOnly="1" outline="0" fieldPosition="0"/>
    </format>
    <format dxfId="612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100-000006000000}" name="TablaDinámica53" cacheId="5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J59:L69" firstHeaderRow="1" firstDataRow="1" firstDataCol="3"/>
  <pivotFields count="9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compact="0" outline="0" showAll="0">
      <items count="169">
        <item m="1" x="147"/>
        <item m="1" x="98"/>
        <item h="1" x="0"/>
        <item m="1" x="90"/>
        <item m="1" x="94"/>
        <item m="1" x="78"/>
        <item m="1" x="129"/>
        <item m="1" x="45"/>
        <item h="1" m="1" x="43"/>
        <item h="1" m="1" x="86"/>
        <item h="1" m="1" x="71"/>
        <item h="1" m="1" x="151"/>
        <item h="1" m="1" x="33"/>
        <item h="1" m="1" x="157"/>
        <item h="1" x="8"/>
        <item h="1" x="4"/>
        <item h="1" m="1" x="100"/>
        <item h="1" m="1" x="55"/>
        <item h="1" m="1" x="53"/>
        <item h="1" m="1" x="11"/>
        <item h="1" m="1" x="59"/>
        <item h="1" m="1" x="58"/>
        <item h="1" m="1" x="32"/>
        <item h="1" m="1" x="114"/>
        <item h="1" m="1" x="57"/>
        <item h="1" m="1" x="164"/>
        <item h="1" m="1" x="127"/>
        <item h="1" m="1" x="17"/>
        <item h="1" m="1" x="65"/>
        <item h="1" m="1" x="123"/>
        <item h="1" m="1" x="158"/>
        <item h="1" m="1" x="31"/>
        <item h="1" m="1" x="161"/>
        <item h="1" m="1" x="93"/>
        <item h="1" m="1" x="23"/>
        <item h="1" m="1" x="49"/>
        <item h="1" m="1" x="96"/>
        <item h="1" m="1" x="80"/>
        <item h="1" m="1" x="128"/>
        <item h="1" m="1" x="124"/>
        <item h="1" m="1" x="137"/>
        <item h="1" m="1" x="118"/>
        <item h="1" m="1" x="102"/>
        <item h="1" m="1" x="115"/>
        <item h="1" m="1" x="85"/>
        <item h="1" m="1" x="74"/>
        <item h="1" m="1" x="156"/>
        <item h="1" m="1" x="104"/>
        <item h="1" m="1" x="167"/>
        <item h="1" m="1" x="87"/>
        <item h="1" m="1" x="110"/>
        <item h="1" m="1" x="36"/>
        <item h="1" m="1" x="131"/>
        <item h="1" m="1" x="9"/>
        <item h="1" m="1" x="145"/>
        <item h="1" m="1" x="146"/>
        <item h="1" m="1" x="149"/>
        <item h="1" m="1" x="38"/>
        <item h="1" m="1" x="16"/>
        <item h="1" m="1" x="21"/>
        <item h="1" m="1" x="139"/>
        <item h="1" m="1" x="39"/>
        <item h="1" m="1" x="63"/>
        <item h="1" m="1" x="67"/>
        <item h="1" m="1" x="24"/>
        <item h="1" m="1" x="106"/>
        <item h="1" m="1" x="119"/>
        <item h="1" m="1" x="66"/>
        <item h="1" m="1" x="19"/>
        <item h="1" m="1" x="28"/>
        <item h="1" m="1" x="121"/>
        <item h="1" m="1" x="56"/>
        <item h="1" m="1" x="89"/>
        <item h="1" m="1" x="108"/>
        <item h="1" m="1" x="154"/>
        <item h="1" m="1" x="29"/>
        <item h="1" m="1" x="153"/>
        <item h="1" m="1" x="130"/>
        <item h="1" m="1" x="51"/>
        <item h="1" m="1" x="143"/>
        <item h="1" m="1" x="52"/>
        <item h="1" m="1" x="40"/>
        <item h="1" m="1" x="160"/>
        <item h="1" m="1" x="68"/>
        <item h="1" m="1" x="82"/>
        <item h="1" m="1" x="79"/>
        <item h="1" m="1" x="150"/>
        <item h="1" m="1" x="117"/>
        <item h="1" m="1" x="163"/>
        <item h="1" m="1" x="18"/>
        <item h="1" m="1" x="107"/>
        <item h="1" x="6"/>
        <item h="1" m="1" x="15"/>
        <item h="1" m="1" x="88"/>
        <item h="1" m="1" x="165"/>
        <item h="1" m="1" x="54"/>
        <item h="1" m="1" x="35"/>
        <item h="1" m="1" x="144"/>
        <item h="1" m="1" x="10"/>
        <item h="1" m="1" x="62"/>
        <item h="1" m="1" x="25"/>
        <item h="1" m="1" x="91"/>
        <item h="1" m="1" x="112"/>
        <item h="1" m="1" x="61"/>
        <item h="1" m="1" x="14"/>
        <item h="1" m="1" x="132"/>
        <item h="1" m="1" x="136"/>
        <item h="1" m="1" x="64"/>
        <item h="1" m="1" x="77"/>
        <item h="1" m="1" x="135"/>
        <item h="1" m="1" x="27"/>
        <item h="1" m="1" x="134"/>
        <item h="1" m="1" x="109"/>
        <item h="1" m="1" x="141"/>
        <item h="1" m="1" x="73"/>
        <item h="1" m="1" x="26"/>
        <item h="1" m="1" x="69"/>
        <item h="1" m="1" x="20"/>
        <item h="1" m="1" x="75"/>
        <item h="1" x="7"/>
        <item h="1" m="1" x="95"/>
        <item h="1" m="1" x="50"/>
        <item h="1" m="1" x="122"/>
        <item h="1" m="1" x="83"/>
        <item h="1" m="1" x="138"/>
        <item h="1" m="1" x="47"/>
        <item h="1" m="1" x="142"/>
        <item h="1" m="1" x="166"/>
        <item h="1" m="1" x="162"/>
        <item h="1" m="1" x="103"/>
        <item h="1" m="1" x="97"/>
        <item h="1" m="1" x="101"/>
        <item h="1" m="1" x="76"/>
        <item h="1" m="1" x="126"/>
        <item h="1" m="1" x="12"/>
        <item h="1" m="1" x="159"/>
        <item h="1" m="1" x="60"/>
        <item h="1" m="1" x="70"/>
        <item h="1" m="1" x="72"/>
        <item h="1" m="1" x="111"/>
        <item h="1" m="1" x="148"/>
        <item h="1" m="1" x="48"/>
        <item h="1" m="1" x="120"/>
        <item h="1" m="1" x="152"/>
        <item h="1" m="1" x="140"/>
        <item h="1" m="1" x="30"/>
        <item h="1" m="1" x="37"/>
        <item h="1" m="1" x="81"/>
        <item h="1" m="1" x="13"/>
        <item h="1" m="1" x="46"/>
        <item h="1" m="1" x="41"/>
        <item h="1" m="1" x="116"/>
        <item h="1" m="1" x="84"/>
        <item h="1" m="1" x="92"/>
        <item h="1" m="1" x="113"/>
        <item h="1" m="1" x="155"/>
        <item h="1" m="1" x="34"/>
        <item h="1" m="1" x="44"/>
        <item h="1" m="1" x="99"/>
        <item h="1" m="1" x="125"/>
        <item h="1" m="1" x="133"/>
        <item h="1" m="1" x="42"/>
        <item h="1" m="1" x="105"/>
        <item h="1" m="1" x="22"/>
        <item h="1" x="1"/>
        <item h="1" x="2"/>
        <item h="1" x="3"/>
        <item h="1" x="5"/>
        <item t="default"/>
      </items>
    </pivotField>
    <pivotField compact="0" outline="0" showAll="0"/>
    <pivotField axis="axisRow" compact="0" outline="0" showAll="0">
      <items count="164">
        <item m="1" x="150"/>
        <item m="1" x="57"/>
        <item m="1" x="160"/>
        <item m="1" x="12"/>
        <item m="1" x="129"/>
        <item h="1" x="0"/>
        <item x="1"/>
        <item m="1" x="80"/>
        <item m="1" x="153"/>
        <item m="1" x="69"/>
        <item m="1" x="32"/>
        <item m="1" x="64"/>
        <item m="1" x="94"/>
        <item m="1" x="157"/>
        <item m="1" x="89"/>
        <item m="1" x="151"/>
        <item m="1" x="116"/>
        <item m="1" x="106"/>
        <item m="1" x="51"/>
        <item m="1" x="88"/>
        <item x="5"/>
        <item x="4"/>
        <item m="1" x="38"/>
        <item m="1" x="83"/>
        <item m="1" x="100"/>
        <item m="1" x="77"/>
        <item m="1" x="110"/>
        <item m="1" x="79"/>
        <item m="1" x="46"/>
        <item m="1" x="91"/>
        <item m="1" x="161"/>
        <item m="1" x="68"/>
        <item m="1" x="130"/>
        <item m="1" x="119"/>
        <item m="1" x="121"/>
        <item m="1" x="54"/>
        <item m="1" x="109"/>
        <item m="1" x="58"/>
        <item m="1" x="95"/>
        <item m="1" x="143"/>
        <item m="1" x="22"/>
        <item m="1" x="49"/>
        <item m="1" x="18"/>
        <item m="1" x="25"/>
        <item m="1" x="24"/>
        <item m="1" x="21"/>
        <item m="1" x="15"/>
        <item m="1" x="90"/>
        <item m="1" x="16"/>
        <item m="1" x="103"/>
        <item m="1" x="126"/>
        <item m="1" x="114"/>
        <item m="1" x="50"/>
        <item m="1" x="154"/>
        <item m="1" x="39"/>
        <item m="1" x="122"/>
        <item m="1" x="65"/>
        <item m="1" x="124"/>
        <item m="1" x="141"/>
        <item m="1" x="11"/>
        <item m="1" x="105"/>
        <item m="1" x="28"/>
        <item m="1" x="27"/>
        <item m="1" x="111"/>
        <item m="1" x="144"/>
        <item m="1" x="134"/>
        <item m="1" x="159"/>
        <item m="1" x="31"/>
        <item m="1" x="78"/>
        <item m="1" x="93"/>
        <item m="1" x="52"/>
        <item m="1" x="17"/>
        <item m="1" x="152"/>
        <item x="2"/>
        <item m="1" x="82"/>
        <item m="1" x="112"/>
        <item m="1" x="36"/>
        <item m="1" x="40"/>
        <item m="1" x="20"/>
        <item m="1" x="108"/>
        <item x="8"/>
        <item m="1" x="132"/>
        <item m="1" x="149"/>
        <item m="1" x="47"/>
        <item m="1" x="146"/>
        <item m="1" x="142"/>
        <item m="1" x="87"/>
        <item m="1" x="62"/>
        <item m="1" x="23"/>
        <item m="1" x="30"/>
        <item m="1" x="113"/>
        <item m="1" x="118"/>
        <item m="1" x="61"/>
        <item m="1" x="155"/>
        <item m="1" x="76"/>
        <item m="1" x="140"/>
        <item m="1" x="42"/>
        <item m="1" x="128"/>
        <item m="1" x="136"/>
        <item m="1" x="37"/>
        <item m="1" x="138"/>
        <item m="1" x="117"/>
        <item m="1" x="145"/>
        <item m="1" x="14"/>
        <item m="1" x="84"/>
        <item m="1" x="120"/>
        <item m="1" x="55"/>
        <item m="1" x="60"/>
        <item m="1" x="162"/>
        <item m="1" x="125"/>
        <item m="1" x="43"/>
        <item m="1" x="98"/>
        <item m="1" x="75"/>
        <item m="1" x="135"/>
        <item m="1" x="158"/>
        <item m="1" x="127"/>
        <item m="1" x="34"/>
        <item m="1" x="107"/>
        <item m="1" x="41"/>
        <item m="1" x="66"/>
        <item m="1" x="33"/>
        <item m="1" x="67"/>
        <item m="1" x="44"/>
        <item m="1" x="85"/>
        <item m="1" x="81"/>
        <item m="1" x="131"/>
        <item m="1" x="115"/>
        <item m="1" x="102"/>
        <item m="1" x="13"/>
        <item m="1" x="59"/>
        <item m="1" x="74"/>
        <item m="1" x="86"/>
        <item m="1" x="99"/>
        <item m="1" x="71"/>
        <item m="1" x="70"/>
        <item m="1" x="10"/>
        <item m="1" x="35"/>
        <item m="1" x="73"/>
        <item m="1" x="53"/>
        <item m="1" x="104"/>
        <item m="1" x="133"/>
        <item m="1" x="139"/>
        <item m="1" x="123"/>
        <item m="1" x="92"/>
        <item m="1" x="45"/>
        <item m="1" x="29"/>
        <item x="6"/>
        <item m="1" x="56"/>
        <item m="1" x="26"/>
        <item m="1" x="101"/>
        <item m="1" x="96"/>
        <item m="1" x="19"/>
        <item m="1" x="137"/>
        <item m="1" x="147"/>
        <item m="1" x="97"/>
        <item m="1" x="156"/>
        <item m="1" x="148"/>
        <item m="1" x="72"/>
        <item m="1" x="63"/>
        <item m="1" x="48"/>
        <item x="3"/>
        <item x="7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3">
    <field x="0"/>
    <field x="1"/>
    <field x="4"/>
  </rowFields>
  <rowItems count="10">
    <i>
      <x v="2"/>
      <x v="15"/>
      <x v="6"/>
    </i>
    <i>
      <x v="6"/>
      <x v="14"/>
      <x v="73"/>
    </i>
    <i>
      <x v="7"/>
      <x v="12"/>
      <x v="160"/>
    </i>
    <i>
      <x v="11"/>
      <x/>
      <x v="21"/>
    </i>
    <i>
      <x v="16"/>
      <x v="20"/>
      <x v="20"/>
    </i>
    <i>
      <x v="17"/>
      <x v="5"/>
      <x v="146"/>
    </i>
    <i>
      <x v="19"/>
      <x v="7"/>
      <x v="161"/>
    </i>
    <i>
      <x v="22"/>
      <x v="21"/>
      <x v="80"/>
    </i>
    <i>
      <x v="23"/>
      <x v="22"/>
      <x v="162"/>
    </i>
    <i t="grand">
      <x/>
    </i>
  </rowItems>
  <colItems count="1">
    <i/>
  </colItems>
  <formats count="23">
    <format dxfId="77">
      <pivotArea field="1" type="button" dataOnly="0" labelOnly="1" outline="0" axis="axisRow" fieldPosition="1"/>
    </format>
    <format dxfId="76">
      <pivotArea field="2" type="button" dataOnly="0" labelOnly="1" outline="0"/>
    </format>
    <format dxfId="75">
      <pivotArea field="1" type="button" dataOnly="0" labelOnly="1" outline="0" axis="axisRow" fieldPosition="1"/>
    </format>
    <format dxfId="74">
      <pivotArea field="2" type="button" dataOnly="0" labelOnly="1" outline="0"/>
    </format>
    <format dxfId="73">
      <pivotArea field="1" type="button" dataOnly="0" labelOnly="1" outline="0" axis="axisRow" fieldPosition="1"/>
    </format>
    <format dxfId="72">
      <pivotArea field="2" type="button" dataOnly="0" labelOnly="1" outline="0"/>
    </format>
    <format dxfId="71">
      <pivotArea type="all" dataOnly="0" outline="0" fieldPosition="0"/>
    </format>
    <format dxfId="70">
      <pivotArea field="1" type="button" dataOnly="0" labelOnly="1" outline="0" axis="axisRow" fieldPosition="1"/>
    </format>
    <format dxfId="69">
      <pivotArea field="2" type="button" dataOnly="0" labelOnly="1" outline="0"/>
    </format>
    <format dxfId="68">
      <pivotArea dataOnly="0" labelOnly="1" outline="0" fieldPosition="0">
        <references count="1">
          <reference field="1" count="0"/>
        </references>
      </pivotArea>
    </format>
    <format dxfId="67">
      <pivotArea dataOnly="0" labelOnly="1" grandRow="1" outline="0" fieldPosition="0"/>
    </format>
    <format dxfId="66">
      <pivotArea field="0" type="button" dataOnly="0" labelOnly="1" outline="0" axis="axisRow" fieldPosition="0"/>
    </format>
    <format dxfId="65">
      <pivotArea dataOnly="0" labelOnly="1" outline="0" fieldPosition="0">
        <references count="1">
          <reference field="0" count="9">
            <x v="2"/>
            <x v="4"/>
            <x v="5"/>
            <x v="8"/>
            <x v="13"/>
            <x v="15"/>
            <x v="16"/>
            <x v="18"/>
            <x v="23"/>
          </reference>
        </references>
      </pivotArea>
    </format>
    <format dxfId="64">
      <pivotArea field="4" type="button" dataOnly="0" labelOnly="1" outline="0" axis="axisRow" fieldPosition="2"/>
    </format>
    <format dxfId="63">
      <pivotArea dataOnly="0" labelOnly="1" grandRow="1" outline="0" fieldPosition="0"/>
    </format>
    <format dxfId="62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4" count="1">
            <x v="3"/>
          </reference>
        </references>
      </pivotArea>
    </format>
    <format dxfId="61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7"/>
          </reference>
          <reference field="4" count="1">
            <x v="4"/>
          </reference>
        </references>
      </pivotArea>
    </format>
    <format dxfId="60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4"/>
          </reference>
          <reference field="4" count="1">
            <x v="1"/>
          </reference>
        </references>
      </pivotArea>
    </format>
    <format dxfId="59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"/>
          </reference>
          <reference field="4" count="1">
            <x v="2"/>
          </reference>
        </references>
      </pivotArea>
    </format>
    <format dxfId="58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0"/>
          </reference>
          <reference field="4" count="1">
            <x v="39"/>
          </reference>
        </references>
      </pivotArea>
    </format>
    <format dxfId="57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0"/>
          </reference>
          <reference field="4" count="1">
            <x v="0"/>
          </reference>
        </references>
      </pivotArea>
    </format>
    <format dxfId="56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"/>
          </reference>
          <reference field="4" count="1">
            <x v="40"/>
          </reference>
        </references>
      </pivotArea>
    </format>
    <format dxfId="55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7"/>
          </reference>
          <reference field="4" count="1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100-00000A000000}" name="TablaDinámica57" cacheId="4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F87:H96" firstHeaderRow="1" firstDataRow="1" firstDataCol="3"/>
  <pivotFields count="9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compact="0" outline="0" showAll="0">
      <items count="173">
        <item m="1" x="23"/>
        <item m="1" x="148"/>
        <item m="1" x="171"/>
        <item h="1" x="0"/>
        <item m="1" x="72"/>
        <item m="1" x="14"/>
        <item x="1"/>
        <item x="2"/>
        <item h="1" m="1" x="12"/>
        <item h="1" m="1" x="168"/>
        <item h="1" m="1" x="27"/>
        <item h="1" m="1" x="85"/>
        <item h="1" m="1" x="129"/>
        <item h="1" m="1" x="106"/>
        <item h="1" m="1" x="118"/>
        <item h="1" m="1" x="161"/>
        <item h="1" x="5"/>
        <item h="1" x="3"/>
        <item h="1" m="1" x="115"/>
        <item h="1" m="1" x="20"/>
        <item h="1" x="6"/>
        <item h="1" m="1" x="136"/>
        <item h="1" m="1" x="24"/>
        <item h="1" m="1" x="131"/>
        <item h="1" m="1" x="47"/>
        <item h="1" m="1" x="31"/>
        <item h="1" m="1" x="38"/>
        <item h="1" m="1" x="62"/>
        <item h="1" m="1" x="107"/>
        <item h="1" m="1" x="74"/>
        <item h="1" m="1" x="101"/>
        <item h="1" m="1" x="142"/>
        <item h="1" m="1" x="132"/>
        <item h="1" m="1" x="19"/>
        <item h="1" m="1" x="162"/>
        <item h="1" m="1" x="52"/>
        <item h="1" m="1" x="49"/>
        <item h="1" m="1" x="157"/>
        <item h="1" m="1" x="40"/>
        <item h="1" m="1" x="163"/>
        <item h="1" m="1" x="102"/>
        <item h="1" m="1" x="114"/>
        <item h="1" m="1" x="13"/>
        <item h="1" m="1" x="39"/>
        <item h="1" m="1" x="45"/>
        <item h="1" m="1" x="147"/>
        <item h="1" m="1" x="63"/>
        <item h="1" m="1" x="34"/>
        <item h="1" m="1" x="44"/>
        <item h="1" m="1" x="151"/>
        <item h="1" m="1" x="150"/>
        <item h="1" m="1" x="154"/>
        <item h="1" m="1" x="143"/>
        <item h="1" m="1" x="69"/>
        <item h="1" m="1" x="65"/>
        <item h="1" m="1" x="153"/>
        <item h="1" m="1" x="17"/>
        <item h="1" m="1" x="79"/>
        <item h="1" m="1" x="141"/>
        <item h="1" m="1" x="66"/>
        <item h="1" m="1" x="68"/>
        <item h="1" m="1" x="94"/>
        <item h="1" m="1" x="112"/>
        <item h="1" x="7"/>
        <item h="1" m="1" x="71"/>
        <item h="1" m="1" x="121"/>
        <item h="1" m="1" x="36"/>
        <item h="1" m="1" x="10"/>
        <item h="1" m="1" x="59"/>
        <item h="1" m="1" x="22"/>
        <item h="1" m="1" x="64"/>
        <item h="1" m="1" x="35"/>
        <item h="1" m="1" x="21"/>
        <item h="1" m="1" x="127"/>
        <item h="1" m="1" x="51"/>
        <item h="1" m="1" x="97"/>
        <item h="1" m="1" x="155"/>
        <item h="1" m="1" x="46"/>
        <item h="1" m="1" x="95"/>
        <item h="1" m="1" x="78"/>
        <item h="1" m="1" x="80"/>
        <item h="1" m="1" x="11"/>
        <item h="1" m="1" x="100"/>
        <item h="1" m="1" x="58"/>
        <item h="1" m="1" x="119"/>
        <item h="1" m="1" x="120"/>
        <item h="1" m="1" x="48"/>
        <item h="1" m="1" x="167"/>
        <item h="1" m="1" x="43"/>
        <item h="1" m="1" x="60"/>
        <item h="1" m="1" x="84"/>
        <item h="1" m="1" x="70"/>
        <item h="1" m="1" x="169"/>
        <item h="1" m="1" x="164"/>
        <item h="1" m="1" x="128"/>
        <item h="1" m="1" x="57"/>
        <item h="1" m="1" x="76"/>
        <item h="1" m="1" x="139"/>
        <item h="1" m="1" x="8"/>
        <item h="1" m="1" x="50"/>
        <item h="1" m="1" x="67"/>
        <item h="1" m="1" x="81"/>
        <item h="1" m="1" x="144"/>
        <item h="1" m="1" x="56"/>
        <item h="1" m="1" x="165"/>
        <item h="1" m="1" x="138"/>
        <item h="1" m="1" x="92"/>
        <item h="1" m="1" x="123"/>
        <item h="1" m="1" x="83"/>
        <item h="1" m="1" x="86"/>
        <item h="1" m="1" x="89"/>
        <item h="1" m="1" x="16"/>
        <item h="1" m="1" x="82"/>
        <item h="1" m="1" x="42"/>
        <item h="1" m="1" x="124"/>
        <item h="1" m="1" x="145"/>
        <item h="1" m="1" x="75"/>
        <item h="1" m="1" x="122"/>
        <item h="1" m="1" x="111"/>
        <item h="1" m="1" x="126"/>
        <item h="1" m="1" x="54"/>
        <item h="1" m="1" x="29"/>
        <item h="1" m="1" x="159"/>
        <item h="1" m="1" x="134"/>
        <item h="1" m="1" x="18"/>
        <item h="1" m="1" x="160"/>
        <item h="1" m="1" x="98"/>
        <item h="1" m="1" x="91"/>
        <item h="1" m="1" x="87"/>
        <item h="1" m="1" x="133"/>
        <item h="1" m="1" x="55"/>
        <item h="1" m="1" x="113"/>
        <item h="1" m="1" x="166"/>
        <item h="1" m="1" x="108"/>
        <item h="1" m="1" x="103"/>
        <item h="1" m="1" x="99"/>
        <item h="1" m="1" x="28"/>
        <item h="1" m="1" x="15"/>
        <item h="1" m="1" x="110"/>
        <item h="1" m="1" x="109"/>
        <item h="1" m="1" x="30"/>
        <item h="1" m="1" x="104"/>
        <item h="1" m="1" x="93"/>
        <item h="1" m="1" x="135"/>
        <item h="1" m="1" x="152"/>
        <item h="1" m="1" x="137"/>
        <item h="1" m="1" x="32"/>
        <item h="1" m="1" x="9"/>
        <item h="1" m="1" x="105"/>
        <item h="1" m="1" x="25"/>
        <item h="1" m="1" x="170"/>
        <item h="1" m="1" x="41"/>
        <item h="1" m="1" x="158"/>
        <item h="1" m="1" x="130"/>
        <item h="1" m="1" x="96"/>
        <item h="1" m="1" x="116"/>
        <item h="1" m="1" x="33"/>
        <item h="1" m="1" x="88"/>
        <item h="1" m="1" x="26"/>
        <item h="1" m="1" x="149"/>
        <item h="1" m="1" x="156"/>
        <item h="1" m="1" x="117"/>
        <item h="1" m="1" x="37"/>
        <item h="1" m="1" x="73"/>
        <item h="1" m="1" x="61"/>
        <item h="1" m="1" x="53"/>
        <item h="1" m="1" x="146"/>
        <item h="1" m="1" x="140"/>
        <item h="1" m="1" x="125"/>
        <item h="1" x="4"/>
        <item h="1" m="1" x="90"/>
        <item h="1" m="1" x="77"/>
        <item t="default"/>
      </items>
    </pivotField>
    <pivotField compact="0" outline="0" showAll="0"/>
    <pivotField compact="0" outline="0" showAll="0"/>
    <pivotField axis="axisRow" compact="0" outline="0" showAll="0">
      <items count="181">
        <item m="1" x="169"/>
        <item x="3"/>
        <item m="1" x="75"/>
        <item m="1" x="106"/>
        <item m="1" x="123"/>
        <item m="1" x="177"/>
        <item m="1" x="8"/>
        <item h="1" x="0"/>
        <item m="1" x="145"/>
        <item m="1" x="143"/>
        <item m="1" x="160"/>
        <item x="4"/>
        <item m="1" x="91"/>
        <item m="1" x="114"/>
        <item m="1" x="116"/>
        <item m="1" x="9"/>
        <item m="1" x="80"/>
        <item m="1" x="112"/>
        <item m="1" x="118"/>
        <item m="1" x="86"/>
        <item m="1" x="141"/>
        <item m="1" x="109"/>
        <item m="1" x="178"/>
        <item x="2"/>
        <item m="1" x="140"/>
        <item m="1" x="22"/>
        <item m="1" x="135"/>
        <item m="1" x="37"/>
        <item m="1" x="81"/>
        <item m="1" x="156"/>
        <item x="7"/>
        <item m="1" x="65"/>
        <item m="1" x="171"/>
        <item m="1" x="110"/>
        <item m="1" x="57"/>
        <item m="1" x="136"/>
        <item m="1" x="46"/>
        <item m="1" x="23"/>
        <item m="1" x="111"/>
        <item m="1" x="102"/>
        <item m="1" x="166"/>
        <item m="1" x="48"/>
        <item m="1" x="61"/>
        <item m="1" x="93"/>
        <item m="1" x="157"/>
        <item m="1" x="24"/>
        <item m="1" x="70"/>
        <item m="1" x="127"/>
        <item m="1" x="73"/>
        <item m="1" x="68"/>
        <item m="1" x="101"/>
        <item m="1" x="12"/>
        <item m="1" x="67"/>
        <item m="1" x="107"/>
        <item m="1" x="124"/>
        <item m="1" x="149"/>
        <item m="1" x="138"/>
        <item m="1" x="131"/>
        <item m="1" x="96"/>
        <item m="1" x="10"/>
        <item m="1" x="71"/>
        <item m="1" x="133"/>
        <item m="1" x="176"/>
        <item m="1" x="155"/>
        <item x="5"/>
        <item m="1" x="20"/>
        <item m="1" x="128"/>
        <item m="1" x="16"/>
        <item m="1" x="13"/>
        <item m="1" x="17"/>
        <item m="1" x="158"/>
        <item m="1" x="173"/>
        <item m="1" x="44"/>
        <item m="1" x="64"/>
        <item m="1" x="142"/>
        <item m="1" x="161"/>
        <item m="1" x="21"/>
        <item m="1" x="52"/>
        <item m="1" x="144"/>
        <item m="1" x="38"/>
        <item m="1" x="134"/>
        <item m="1" x="174"/>
        <item m="1" x="117"/>
        <item m="1" x="90"/>
        <item m="1" x="40"/>
        <item m="1" x="29"/>
        <item m="1" x="50"/>
        <item m="1" x="98"/>
        <item m="1" x="76"/>
        <item m="1" x="103"/>
        <item m="1" x="19"/>
        <item m="1" x="146"/>
        <item m="1" x="147"/>
        <item m="1" x="113"/>
        <item m="1" x="92"/>
        <item m="1" x="14"/>
        <item m="1" x="56"/>
        <item m="1" x="45"/>
        <item m="1" x="74"/>
        <item m="1" x="28"/>
        <item m="1" x="62"/>
        <item m="1" x="148"/>
        <item m="1" x="168"/>
        <item m="1" x="154"/>
        <item m="1" x="26"/>
        <item m="1" x="120"/>
        <item m="1" x="137"/>
        <item m="1" x="31"/>
        <item m="1" x="72"/>
        <item m="1" x="132"/>
        <item m="1" x="59"/>
        <item m="1" x="18"/>
        <item m="1" x="175"/>
        <item m="1" x="54"/>
        <item m="1" x="179"/>
        <item m="1" x="79"/>
        <item m="1" x="30"/>
        <item m="1" x="167"/>
        <item m="1" x="119"/>
        <item m="1" x="39"/>
        <item m="1" x="129"/>
        <item m="1" x="27"/>
        <item m="1" x="165"/>
        <item m="1" x="164"/>
        <item m="1" x="122"/>
        <item m="1" x="36"/>
        <item m="1" x="159"/>
        <item m="1" x="58"/>
        <item m="1" x="163"/>
        <item m="1" x="151"/>
        <item m="1" x="42"/>
        <item m="1" x="41"/>
        <item m="1" x="43"/>
        <item m="1" x="83"/>
        <item m="1" x="95"/>
        <item m="1" x="130"/>
        <item m="1" x="172"/>
        <item m="1" x="49"/>
        <item m="1" x="51"/>
        <item m="1" x="105"/>
        <item m="1" x="126"/>
        <item m="1" x="99"/>
        <item m="1" x="53"/>
        <item m="1" x="87"/>
        <item m="1" x="47"/>
        <item m="1" x="25"/>
        <item m="1" x="100"/>
        <item m="1" x="84"/>
        <item m="1" x="125"/>
        <item m="1" x="108"/>
        <item m="1" x="139"/>
        <item m="1" x="60"/>
        <item m="1" x="170"/>
        <item m="1" x="69"/>
        <item m="1" x="82"/>
        <item m="1" x="85"/>
        <item m="1" x="152"/>
        <item m="1" x="55"/>
        <item m="1" x="66"/>
        <item m="1" x="104"/>
        <item m="1" x="97"/>
        <item m="1" x="35"/>
        <item m="1" x="34"/>
        <item m="1" x="11"/>
        <item m="1" x="115"/>
        <item m="1" x="162"/>
        <item m="1" x="94"/>
        <item m="1" x="15"/>
        <item m="1" x="33"/>
        <item m="1" x="88"/>
        <item m="1" x="150"/>
        <item m="1" x="89"/>
        <item m="1" x="78"/>
        <item m="1" x="121"/>
        <item m="1" x="63"/>
        <item m="1" x="77"/>
        <item m="1" x="32"/>
        <item m="1" x="153"/>
        <item x="1"/>
        <item x="6"/>
        <item t="default"/>
      </items>
    </pivotField>
    <pivotField compact="0" outline="0" showAll="0"/>
    <pivotField compact="0" outline="0" showAll="0"/>
    <pivotField compact="0" outline="0" showAll="0"/>
  </pivotFields>
  <rowFields count="3">
    <field x="0"/>
    <field x="1"/>
    <field x="5"/>
  </rowFields>
  <rowItems count="9">
    <i>
      <x v="1"/>
      <x v="9"/>
      <x v="178"/>
    </i>
    <i>
      <x v="6"/>
      <x v="14"/>
      <x v="23"/>
    </i>
    <i>
      <x v="7"/>
      <x v="12"/>
      <x v="1"/>
    </i>
    <i>
      <x v="9"/>
      <x v="26"/>
      <x v="11"/>
    </i>
    <i>
      <x v="11"/>
      <x/>
      <x v="11"/>
    </i>
    <i>
      <x v="16"/>
      <x v="20"/>
      <x v="64"/>
    </i>
    <i>
      <x v="17"/>
      <x v="5"/>
      <x v="179"/>
    </i>
    <i>
      <x v="19"/>
      <x v="7"/>
      <x v="30"/>
    </i>
    <i t="grand">
      <x/>
    </i>
  </rowItems>
  <colItems count="1">
    <i/>
  </colItems>
  <formats count="23">
    <format dxfId="100">
      <pivotArea field="1" type="button" dataOnly="0" labelOnly="1" outline="0" axis="axisRow" fieldPosition="1"/>
    </format>
    <format dxfId="99">
      <pivotArea field="2" type="button" dataOnly="0" labelOnly="1" outline="0"/>
    </format>
    <format dxfId="98">
      <pivotArea field="1" type="button" dataOnly="0" labelOnly="1" outline="0" axis="axisRow" fieldPosition="1"/>
    </format>
    <format dxfId="97">
      <pivotArea field="2" type="button" dataOnly="0" labelOnly="1" outline="0"/>
    </format>
    <format dxfId="96">
      <pivotArea field="1" type="button" dataOnly="0" labelOnly="1" outline="0" axis="axisRow" fieldPosition="1"/>
    </format>
    <format dxfId="95">
      <pivotArea field="2" type="button" dataOnly="0" labelOnly="1" outline="0"/>
    </format>
    <format dxfId="94">
      <pivotArea type="all" dataOnly="0" outline="0" fieldPosition="0"/>
    </format>
    <format dxfId="93">
      <pivotArea field="1" type="button" dataOnly="0" labelOnly="1" outline="0" axis="axisRow" fieldPosition="1"/>
    </format>
    <format dxfId="92">
      <pivotArea field="2" type="button" dataOnly="0" labelOnly="1" outline="0"/>
    </format>
    <format dxfId="91">
      <pivotArea dataOnly="0" labelOnly="1" outline="0" fieldPosition="0">
        <references count="1">
          <reference field="1" count="0"/>
        </references>
      </pivotArea>
    </format>
    <format dxfId="90">
      <pivotArea dataOnly="0" labelOnly="1" grandRow="1" outline="0" fieldPosition="0"/>
    </format>
    <format dxfId="89">
      <pivotArea field="0" type="button" dataOnly="0" labelOnly="1" outline="0" axis="axisRow" fieldPosition="0"/>
    </format>
    <format dxfId="88">
      <pivotArea dataOnly="0" labelOnly="1" outline="0" fieldPosition="0">
        <references count="1">
          <reference field="0" count="9">
            <x v="2"/>
            <x v="4"/>
            <x v="5"/>
            <x v="8"/>
            <x v="13"/>
            <x v="15"/>
            <x v="16"/>
            <x v="18"/>
            <x v="23"/>
          </reference>
        </references>
      </pivotArea>
    </format>
    <format dxfId="87">
      <pivotArea field="5" type="button" dataOnly="0" labelOnly="1" outline="0" axis="axisRow" fieldPosition="2"/>
    </format>
    <format dxfId="86">
      <pivotArea dataOnly="0" labelOnly="1" grandRow="1" outline="0" fieldPosition="0"/>
    </format>
    <format dxfId="8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6"/>
          </reference>
          <reference field="5" count="1">
            <x v="3"/>
          </reference>
        </references>
      </pivotArea>
    </format>
    <format dxfId="84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5" count="1">
            <x v="6"/>
          </reference>
        </references>
      </pivotArea>
    </format>
    <format dxfId="83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12"/>
          </reference>
          <reference field="5" count="1">
            <x v="1"/>
          </reference>
        </references>
      </pivotArea>
    </format>
    <format dxfId="82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3"/>
          </reference>
          <reference field="5" count="1">
            <x v="2"/>
          </reference>
        </references>
      </pivotArea>
    </format>
    <format dxfId="81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0"/>
          </reference>
          <reference field="5" count="1">
            <x v="5"/>
          </reference>
        </references>
      </pivotArea>
    </format>
    <format dxfId="80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"/>
          </reference>
          <reference field="5" count="1">
            <x v="2"/>
          </reference>
        </references>
      </pivotArea>
    </format>
    <format dxfId="79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7"/>
          </reference>
          <reference field="5" count="1">
            <x v="4"/>
          </reference>
        </references>
      </pivotArea>
    </format>
    <format dxfId="78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23"/>
          </reference>
          <reference field="5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100-000001000000}" name="TablaDinámica48" cacheId="4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F3:H12" firstHeaderRow="1" firstDataRow="1" firstDataCol="3"/>
  <pivotFields count="9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axis="axisRow" compact="0" outline="0" showAll="0">
      <items count="173">
        <item m="1" x="23"/>
        <item m="1" x="148"/>
        <item m="1" x="171"/>
        <item h="1" x="0"/>
        <item m="1" x="72"/>
        <item m="1" x="14"/>
        <item x="1"/>
        <item x="2"/>
        <item m="1" x="12"/>
        <item m="1" x="168"/>
        <item m="1" x="27"/>
        <item m="1" x="85"/>
        <item m="1" x="129"/>
        <item m="1" x="106"/>
        <item m="1" x="118"/>
        <item m="1" x="161"/>
        <item x="5"/>
        <item x="3"/>
        <item m="1" x="115"/>
        <item m="1" x="20"/>
        <item x="6"/>
        <item m="1" x="136"/>
        <item m="1" x="24"/>
        <item m="1" x="131"/>
        <item m="1" x="47"/>
        <item m="1" x="31"/>
        <item m="1" x="38"/>
        <item m="1" x="62"/>
        <item m="1" x="107"/>
        <item m="1" x="74"/>
        <item m="1" x="101"/>
        <item m="1" x="142"/>
        <item m="1" x="132"/>
        <item m="1" x="19"/>
        <item m="1" x="162"/>
        <item m="1" x="52"/>
        <item m="1" x="49"/>
        <item m="1" x="157"/>
        <item m="1" x="40"/>
        <item m="1" x="163"/>
        <item m="1" x="102"/>
        <item m="1" x="114"/>
        <item m="1" x="13"/>
        <item m="1" x="39"/>
        <item m="1" x="45"/>
        <item m="1" x="147"/>
        <item m="1" x="63"/>
        <item m="1" x="34"/>
        <item m="1" x="44"/>
        <item m="1" x="151"/>
        <item m="1" x="150"/>
        <item m="1" x="154"/>
        <item m="1" x="143"/>
        <item m="1" x="69"/>
        <item m="1" x="65"/>
        <item m="1" x="153"/>
        <item m="1" x="17"/>
        <item m="1" x="79"/>
        <item m="1" x="141"/>
        <item m="1" x="66"/>
        <item m="1" x="68"/>
        <item m="1" x="94"/>
        <item m="1" x="112"/>
        <item x="7"/>
        <item m="1" x="71"/>
        <item m="1" x="121"/>
        <item m="1" x="36"/>
        <item m="1" x="10"/>
        <item m="1" x="59"/>
        <item m="1" x="22"/>
        <item m="1" x="64"/>
        <item m="1" x="35"/>
        <item m="1" x="21"/>
        <item m="1" x="127"/>
        <item m="1" x="51"/>
        <item m="1" x="97"/>
        <item m="1" x="155"/>
        <item m="1" x="46"/>
        <item m="1" x="95"/>
        <item m="1" x="78"/>
        <item m="1" x="80"/>
        <item m="1" x="11"/>
        <item m="1" x="100"/>
        <item m="1" x="58"/>
        <item m="1" x="119"/>
        <item m="1" x="120"/>
        <item m="1" x="48"/>
        <item m="1" x="167"/>
        <item m="1" x="43"/>
        <item m="1" x="60"/>
        <item m="1" x="84"/>
        <item m="1" x="70"/>
        <item m="1" x="169"/>
        <item m="1" x="164"/>
        <item m="1" x="128"/>
        <item m="1" x="57"/>
        <item m="1" x="76"/>
        <item m="1" x="139"/>
        <item m="1" x="8"/>
        <item m="1" x="50"/>
        <item m="1" x="67"/>
        <item m="1" x="81"/>
        <item m="1" x="144"/>
        <item m="1" x="56"/>
        <item m="1" x="165"/>
        <item m="1" x="138"/>
        <item m="1" x="92"/>
        <item m="1" x="123"/>
        <item m="1" x="83"/>
        <item m="1" x="86"/>
        <item m="1" x="89"/>
        <item m="1" x="16"/>
        <item m="1" x="82"/>
        <item m="1" x="42"/>
        <item m="1" x="124"/>
        <item m="1" x="145"/>
        <item m="1" x="75"/>
        <item m="1" x="122"/>
        <item m="1" x="111"/>
        <item m="1" x="126"/>
        <item m="1" x="54"/>
        <item m="1" x="29"/>
        <item m="1" x="159"/>
        <item m="1" x="134"/>
        <item m="1" x="18"/>
        <item m="1" x="160"/>
        <item m="1" x="98"/>
        <item m="1" x="91"/>
        <item m="1" x="87"/>
        <item m="1" x="133"/>
        <item m="1" x="55"/>
        <item m="1" x="113"/>
        <item m="1" x="166"/>
        <item m="1" x="108"/>
        <item m="1" x="103"/>
        <item m="1" x="99"/>
        <item m="1" x="28"/>
        <item m="1" x="15"/>
        <item m="1" x="110"/>
        <item m="1" x="109"/>
        <item m="1" x="30"/>
        <item m="1" x="104"/>
        <item m="1" x="93"/>
        <item m="1" x="135"/>
        <item m="1" x="152"/>
        <item m="1" x="137"/>
        <item m="1" x="32"/>
        <item m="1" x="9"/>
        <item m="1" x="105"/>
        <item m="1" x="25"/>
        <item m="1" x="170"/>
        <item m="1" x="41"/>
        <item m="1" x="158"/>
        <item m="1" x="130"/>
        <item m="1" x="96"/>
        <item m="1" x="116"/>
        <item m="1" x="33"/>
        <item m="1" x="88"/>
        <item m="1" x="26"/>
        <item m="1" x="149"/>
        <item m="1" x="156"/>
        <item m="1" x="117"/>
        <item m="1" x="37"/>
        <item m="1" x="73"/>
        <item m="1" x="61"/>
        <item m="1" x="53"/>
        <item m="1" x="146"/>
        <item m="1" x="140"/>
        <item m="1" x="125"/>
        <item x="4"/>
        <item m="1" x="90"/>
        <item m="1" x="7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0"/>
    <field x="1"/>
    <field x="2"/>
  </rowFields>
  <rowItems count="9">
    <i>
      <x v="6"/>
      <x v="14"/>
      <x v="6"/>
    </i>
    <i>
      <x v="7"/>
      <x v="12"/>
      <x v="7"/>
    </i>
    <i>
      <x v="9"/>
      <x v="26"/>
      <x v="17"/>
    </i>
    <i>
      <x v="15"/>
      <x v="19"/>
      <x v="169"/>
    </i>
    <i>
      <x v="16"/>
      <x v="20"/>
      <x v="16"/>
    </i>
    <i>
      <x v="17"/>
      <x v="5"/>
      <x v="169"/>
    </i>
    <i>
      <x v="19"/>
      <x v="7"/>
      <x v="20"/>
    </i>
    <i>
      <x v="23"/>
      <x v="22"/>
      <x v="63"/>
    </i>
    <i t="grand">
      <x/>
    </i>
  </rowItems>
  <colItems count="1">
    <i/>
  </colItems>
  <formats count="41">
    <format dxfId="141">
      <pivotArea field="1" type="button" dataOnly="0" labelOnly="1" outline="0" axis="axisRow" fieldPosition="1"/>
    </format>
    <format dxfId="140">
      <pivotArea field="2" type="button" dataOnly="0" labelOnly="1" outline="0" axis="axisRow" fieldPosition="2"/>
    </format>
    <format dxfId="139">
      <pivotArea field="1" type="button" dataOnly="0" labelOnly="1" outline="0" axis="axisRow" fieldPosition="1"/>
    </format>
    <format dxfId="138">
      <pivotArea field="2" type="button" dataOnly="0" labelOnly="1" outline="0" axis="axisRow" fieldPosition="2"/>
    </format>
    <format dxfId="137">
      <pivotArea field="1" type="button" dataOnly="0" labelOnly="1" outline="0" axis="axisRow" fieldPosition="1"/>
    </format>
    <format dxfId="136">
      <pivotArea field="2" type="button" dataOnly="0" labelOnly="1" outline="0" axis="axisRow" fieldPosition="2"/>
    </format>
    <format dxfId="135">
      <pivotArea type="all" dataOnly="0" outline="0" fieldPosition="0"/>
    </format>
    <format dxfId="134">
      <pivotArea field="1" type="button" dataOnly="0" labelOnly="1" outline="0" axis="axisRow" fieldPosition="1"/>
    </format>
    <format dxfId="133">
      <pivotArea field="2" type="button" dataOnly="0" labelOnly="1" outline="0" axis="axisRow" fieldPosition="2"/>
    </format>
    <format dxfId="132">
      <pivotArea dataOnly="0" labelOnly="1" outline="0" fieldPosition="0">
        <references count="1">
          <reference field="1" count="0"/>
        </references>
      </pivotArea>
    </format>
    <format dxfId="131">
      <pivotArea dataOnly="0" labelOnly="1" grandRow="1" outline="0" fieldPosition="0"/>
    </format>
    <format dxfId="130">
      <pivotArea dataOnly="0" labelOnly="1" outline="0" fieldPosition="0">
        <references count="2">
          <reference field="1" count="1" selected="0">
            <x v="0"/>
          </reference>
          <reference field="2" count="1">
            <x v="3"/>
          </reference>
        </references>
      </pivotArea>
    </format>
    <format dxfId="129">
      <pivotArea dataOnly="0" labelOnly="1" outline="0" fieldPosition="0">
        <references count="2">
          <reference field="1" count="1" selected="0">
            <x v="1"/>
          </reference>
          <reference field="2" count="1">
            <x v="3"/>
          </reference>
        </references>
      </pivotArea>
    </format>
    <format dxfId="128">
      <pivotArea dataOnly="0" labelOnly="1" outline="0" fieldPosition="0">
        <references count="2">
          <reference field="1" count="1" selected="0">
            <x v="2"/>
          </reference>
          <reference field="2" count="1">
            <x v="3"/>
          </reference>
        </references>
      </pivotArea>
    </format>
    <format dxfId="127">
      <pivotArea dataOnly="0" labelOnly="1" outline="0" fieldPosition="0">
        <references count="2">
          <reference field="1" count="1" selected="0">
            <x v="3"/>
          </reference>
          <reference field="2" count="1">
            <x v="3"/>
          </reference>
        </references>
      </pivotArea>
    </format>
    <format dxfId="126">
      <pivotArea dataOnly="0" labelOnly="1" outline="0" fieldPosition="0">
        <references count="2">
          <reference field="1" count="1" selected="0">
            <x v="4"/>
          </reference>
          <reference field="2" count="1">
            <x v="1"/>
          </reference>
        </references>
      </pivotArea>
    </format>
    <format dxfId="125">
      <pivotArea dataOnly="0" labelOnly="1" outline="0" fieldPosition="0">
        <references count="2">
          <reference field="1" count="1" selected="0">
            <x v="6"/>
          </reference>
          <reference field="2" count="1">
            <x v="3"/>
          </reference>
        </references>
      </pivotArea>
    </format>
    <format dxfId="124">
      <pivotArea dataOnly="0" labelOnly="1" outline="0" fieldPosition="0">
        <references count="2">
          <reference field="1" count="1" selected="0">
            <x v="7"/>
          </reference>
          <reference field="2" count="1">
            <x v="0"/>
          </reference>
        </references>
      </pivotArea>
    </format>
    <format dxfId="123">
      <pivotArea dataOnly="0" labelOnly="1" outline="0" fieldPosition="0">
        <references count="2">
          <reference field="1" count="1" selected="0">
            <x v="8"/>
          </reference>
          <reference field="2" count="1">
            <x v="3"/>
          </reference>
        </references>
      </pivotArea>
    </format>
    <format dxfId="122">
      <pivotArea dataOnly="0" labelOnly="1" outline="0" fieldPosition="0">
        <references count="2">
          <reference field="1" count="1" selected="0">
            <x v="9"/>
          </reference>
          <reference field="2" count="1">
            <x v="3"/>
          </reference>
        </references>
      </pivotArea>
    </format>
    <format dxfId="121">
      <pivotArea dataOnly="0" labelOnly="1" outline="0" fieldPosition="0">
        <references count="2">
          <reference field="1" count="1" selected="0">
            <x v="10"/>
          </reference>
          <reference field="2" count="1">
            <x v="2"/>
          </reference>
        </references>
      </pivotArea>
    </format>
    <format dxfId="120">
      <pivotArea dataOnly="0" labelOnly="1" outline="0" fieldPosition="0">
        <references count="2">
          <reference field="1" count="1" selected="0">
            <x v="11"/>
          </reference>
          <reference field="2" count="1">
            <x v="3"/>
          </reference>
        </references>
      </pivotArea>
    </format>
    <format dxfId="119">
      <pivotArea dataOnly="0" labelOnly="1" outline="0" fieldPosition="0">
        <references count="2">
          <reference field="1" count="1" selected="0">
            <x v="12"/>
          </reference>
          <reference field="2" count="1">
            <x v="3"/>
          </reference>
        </references>
      </pivotArea>
    </format>
    <format dxfId="118">
      <pivotArea dataOnly="0" labelOnly="1" outline="0" fieldPosition="0">
        <references count="2">
          <reference field="1" count="1" selected="0">
            <x v="13"/>
          </reference>
          <reference field="2" count="1">
            <x v="3"/>
          </reference>
        </references>
      </pivotArea>
    </format>
    <format dxfId="117">
      <pivotArea dataOnly="0" labelOnly="1" outline="0" fieldPosition="0">
        <references count="2">
          <reference field="1" count="1" selected="0">
            <x v="16"/>
          </reference>
          <reference field="2" count="1">
            <x v="3"/>
          </reference>
        </references>
      </pivotArea>
    </format>
    <format dxfId="116">
      <pivotArea dataOnly="0" labelOnly="1" outline="0" fieldPosition="0">
        <references count="2">
          <reference field="1" count="1" selected="0">
            <x v="18"/>
          </reference>
          <reference field="2" count="1">
            <x v="3"/>
          </reference>
        </references>
      </pivotArea>
    </format>
    <format dxfId="115">
      <pivotArea dataOnly="0" labelOnly="1" outline="0" fieldPosition="0">
        <references count="2">
          <reference field="1" count="1" selected="0">
            <x v="19"/>
          </reference>
          <reference field="2" count="1">
            <x v="3"/>
          </reference>
        </references>
      </pivotArea>
    </format>
    <format dxfId="114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113">
      <pivotArea dataOnly="0" labelOnly="1" outline="0" fieldPosition="0">
        <references count="2">
          <reference field="1" count="1" selected="0">
            <x v="22"/>
          </reference>
          <reference field="2" count="1">
            <x v="3"/>
          </reference>
        </references>
      </pivotArea>
    </format>
    <format dxfId="112">
      <pivotArea field="0" type="button" dataOnly="0" labelOnly="1" outline="0" axis="axisRow" fieldPosition="0"/>
    </format>
    <format dxfId="111">
      <pivotArea dataOnly="0" labelOnly="1" outline="0" fieldPosition="0">
        <references count="1">
          <reference field="0" count="9">
            <x v="2"/>
            <x v="4"/>
            <x v="5"/>
            <x v="8"/>
            <x v="13"/>
            <x v="15"/>
            <x v="16"/>
            <x v="18"/>
            <x v="23"/>
          </reference>
        </references>
      </pivotArea>
    </format>
    <format dxfId="110">
      <pivotArea field="2" type="button" dataOnly="0" labelOnly="1" outline="0" axis="axisRow" fieldPosition="2"/>
    </format>
    <format dxfId="109">
      <pivotArea dataOnly="0" labelOnly="1" grandRow="1" outline="0" fieldPosition="0"/>
    </format>
    <format dxfId="10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"/>
          </reference>
          <reference field="2" count="1">
            <x v="2"/>
          </reference>
        </references>
      </pivotArea>
    </format>
    <format dxfId="107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2" count="1">
            <x v="4"/>
          </reference>
        </references>
      </pivotArea>
    </format>
    <format dxfId="106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7"/>
          </reference>
          <reference field="2" count="1">
            <x v="5"/>
          </reference>
        </references>
      </pivotArea>
    </format>
    <format dxfId="105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19"/>
          </reference>
          <reference field="2" count="1">
            <x v="6"/>
          </reference>
        </references>
      </pivotArea>
    </format>
    <format dxfId="104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0"/>
          </reference>
          <reference field="2" count="1">
            <x v="7"/>
          </reference>
        </references>
      </pivotArea>
    </format>
    <format dxfId="103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"/>
          </reference>
          <reference field="2" count="1">
            <x v="1"/>
          </reference>
        </references>
      </pivotArea>
    </format>
    <format dxfId="102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7"/>
          </reference>
          <reference field="2" count="1">
            <x v="0"/>
          </reference>
        </references>
      </pivotArea>
    </format>
    <format dxfId="101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23"/>
          </reference>
          <reference field="2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100-000011000000}" name="TablaDinámica64" cacheId="2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B143:D152" firstHeaderRow="1" firstDataRow="1" firstDataCol="3"/>
  <pivotFields count="9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compact="0" outline="0" showAll="0">
      <items count="181">
        <item m="1" x="164"/>
        <item m="1" x="116"/>
        <item m="1" x="170"/>
        <item m="1" x="36"/>
        <item m="1" x="157"/>
        <item m="1" x="175"/>
        <item m="1" x="114"/>
        <item m="1" x="179"/>
        <item h="1" x="0"/>
        <item h="1" m="1" x="28"/>
        <item h="1" m="1" x="64"/>
        <item h="1" x="5"/>
        <item h="1" m="1" x="56"/>
        <item h="1" m="1" x="73"/>
        <item h="1" m="1" x="89"/>
        <item h="1" m="1" x="124"/>
        <item h="1" m="1" x="33"/>
        <item h="1" m="1" x="178"/>
        <item h="1" m="1" x="70"/>
        <item h="1" m="1" x="137"/>
        <item h="1" m="1" x="21"/>
        <item h="1" m="1" x="134"/>
        <item h="1" m="1" x="167"/>
        <item h="1" m="1" x="55"/>
        <item h="1" m="1" x="61"/>
        <item h="1" m="1" x="104"/>
        <item h="1" m="1" x="165"/>
        <item h="1" m="1" x="144"/>
        <item h="1" m="1" x="68"/>
        <item h="1" m="1" x="152"/>
        <item h="1" m="1" x="163"/>
        <item h="1" m="1" x="84"/>
        <item h="1" m="1" x="109"/>
        <item h="1" m="1" x="145"/>
        <item h="1" m="1" x="112"/>
        <item h="1" m="1" x="27"/>
        <item h="1" m="1" x="60"/>
        <item h="1" m="1" x="81"/>
        <item h="1" m="1" x="29"/>
        <item h="1" m="1" x="24"/>
        <item h="1" m="1" x="65"/>
        <item h="1" m="1" x="169"/>
        <item h="1" m="1" x="17"/>
        <item h="1" m="1" x="13"/>
        <item h="1" m="1" x="14"/>
        <item h="1" m="1" x="31"/>
        <item h="1" m="1" x="129"/>
        <item h="1" m="1" x="119"/>
        <item h="1" m="1" x="172"/>
        <item h="1" m="1" x="111"/>
        <item h="1" m="1" x="58"/>
        <item h="1" m="1" x="136"/>
        <item h="1" m="1" x="76"/>
        <item h="1" m="1" x="79"/>
        <item h="1" m="1" x="125"/>
        <item h="1" m="1" x="66"/>
        <item h="1" m="1" x="95"/>
        <item h="1" m="1" x="103"/>
        <item h="1" m="1" x="100"/>
        <item h="1" m="1" x="141"/>
        <item h="1" m="1" x="74"/>
        <item h="1" m="1" x="115"/>
        <item h="1" m="1" x="117"/>
        <item h="1" m="1" x="99"/>
        <item h="1" m="1" x="105"/>
        <item h="1" m="1" x="23"/>
        <item h="1" m="1" x="147"/>
        <item h="1" m="1" x="160"/>
        <item h="1" m="1" x="34"/>
        <item h="1" m="1" x="42"/>
        <item h="1" m="1" x="143"/>
        <item h="1" m="1" x="78"/>
        <item h="1" m="1" x="35"/>
        <item h="1" m="1" x="161"/>
        <item h="1" m="1" x="80"/>
        <item h="1" m="1" x="38"/>
        <item h="1" m="1" x="102"/>
        <item h="1" m="1" x="39"/>
        <item h="1" m="1" x="87"/>
        <item h="1" m="1" x="77"/>
        <item h="1" m="1" x="32"/>
        <item h="1" m="1" x="131"/>
        <item h="1" m="1" x="54"/>
        <item h="1" m="1" x="142"/>
        <item h="1" m="1" x="82"/>
        <item h="1" m="1" x="94"/>
        <item h="1" m="1" x="97"/>
        <item h="1" m="1" x="59"/>
        <item h="1" m="1" x="108"/>
        <item h="1" m="1" x="101"/>
        <item h="1" m="1" x="85"/>
        <item h="1" m="1" x="166"/>
        <item h="1" m="1" x="53"/>
        <item h="1" m="1" x="51"/>
        <item h="1" m="1" x="107"/>
        <item h="1" m="1" x="48"/>
        <item h="1" m="1" x="45"/>
        <item h="1" m="1" x="148"/>
        <item h="1" m="1" x="63"/>
        <item h="1" m="1" x="149"/>
        <item h="1" m="1" x="121"/>
        <item h="1" m="1" x="171"/>
        <item h="1" m="1" x="72"/>
        <item h="1" m="1" x="57"/>
        <item h="1" m="1" x="15"/>
        <item h="1" m="1" x="156"/>
        <item h="1" m="1" x="67"/>
        <item h="1" m="1" x="168"/>
        <item h="1" m="1" x="96"/>
        <item h="1" m="1" x="75"/>
        <item h="1" m="1" x="43"/>
        <item h="1" m="1" x="26"/>
        <item h="1" m="1" x="50"/>
        <item h="1" m="1" x="154"/>
        <item h="1" m="1" x="173"/>
        <item h="1" m="1" x="16"/>
        <item h="1" m="1" x="12"/>
        <item h="1" m="1" x="93"/>
        <item h="1" m="1" x="162"/>
        <item h="1" m="1" x="52"/>
        <item h="1" m="1" x="126"/>
        <item h="1" m="1" x="62"/>
        <item h="1" m="1" x="123"/>
        <item h="1" m="1" x="71"/>
        <item h="1" m="1" x="88"/>
        <item h="1" m="1" x="47"/>
        <item h="1" m="1" x="18"/>
        <item h="1" m="1" x="120"/>
        <item h="1" m="1" x="151"/>
        <item h="1" m="1" x="30"/>
        <item h="1" m="1" x="91"/>
        <item h="1" m="1" x="98"/>
        <item h="1" m="1" x="83"/>
        <item h="1" m="1" x="139"/>
        <item h="1" m="1" x="130"/>
        <item h="1" m="1" x="133"/>
        <item h="1" m="1" x="86"/>
        <item h="1" m="1" x="177"/>
        <item h="1" m="1" x="176"/>
        <item h="1" m="1" x="128"/>
        <item h="1" m="1" x="132"/>
        <item h="1" m="1" x="41"/>
        <item h="1" m="1" x="20"/>
        <item h="1" m="1" x="44"/>
        <item h="1" m="1" x="49"/>
        <item h="1" m="1" x="135"/>
        <item h="1" m="1" x="46"/>
        <item h="1" m="1" x="106"/>
        <item h="1" m="1" x="118"/>
        <item h="1" m="1" x="37"/>
        <item h="1" m="1" x="22"/>
        <item h="1" m="1" x="90"/>
        <item h="1" m="1" x="92"/>
        <item h="1" m="1" x="122"/>
        <item h="1" m="1" x="153"/>
        <item h="1" m="1" x="40"/>
        <item h="1" m="1" x="146"/>
        <item h="1" m="1" x="174"/>
        <item h="1" m="1" x="127"/>
        <item h="1" m="1" x="25"/>
        <item h="1" m="1" x="11"/>
        <item h="1" m="1" x="159"/>
        <item h="1" m="1" x="158"/>
        <item h="1" m="1" x="140"/>
        <item h="1" m="1" x="19"/>
        <item h="1" m="1" x="110"/>
        <item h="1" x="2"/>
        <item h="1" m="1" x="69"/>
        <item h="1" m="1" x="150"/>
        <item h="1" m="1" x="113"/>
        <item h="1" m="1" x="155"/>
        <item h="1" m="1" x="138"/>
        <item h="1" x="1"/>
        <item h="1" x="3"/>
        <item h="1" x="4"/>
        <item h="1" x="6"/>
        <item h="1" x="7"/>
        <item h="1" x="8"/>
        <item h="1" x="9"/>
        <item h="1"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89">
        <item m="1" x="112"/>
        <item m="1" x="117"/>
        <item m="1" x="38"/>
        <item m="1" x="95"/>
        <item m="1" x="109"/>
        <item m="1" x="130"/>
        <item m="1" x="160"/>
        <item h="1" x="0"/>
        <item m="1" x="72"/>
        <item m="1" x="85"/>
        <item m="1" x="58"/>
        <item m="1" x="92"/>
        <item m="1" x="67"/>
        <item m="1" x="171"/>
        <item m="1" x="70"/>
        <item m="1" x="174"/>
        <item m="1" x="128"/>
        <item x="1"/>
        <item m="1" x="100"/>
        <item m="1" x="114"/>
        <item m="1" x="110"/>
        <item m="1" x="163"/>
        <item m="1" x="169"/>
        <item m="1" x="180"/>
        <item m="1" x="39"/>
        <item m="1" x="59"/>
        <item m="1" x="142"/>
        <item m="1" x="104"/>
        <item m="1" x="87"/>
        <item m="1" x="143"/>
        <item m="1" x="176"/>
        <item m="1" x="31"/>
        <item m="1" x="30"/>
        <item m="1" x="135"/>
        <item m="1" x="61"/>
        <item m="1" x="60"/>
        <item m="1" x="66"/>
        <item m="1" x="139"/>
        <item m="1" x="177"/>
        <item m="1" x="48"/>
        <item m="1" x="49"/>
        <item m="1" x="116"/>
        <item m="1" x="34"/>
        <item m="1" x="90"/>
        <item m="1" x="68"/>
        <item m="1" x="57"/>
        <item m="1" x="154"/>
        <item m="1" x="115"/>
        <item m="1" x="91"/>
        <item m="1" x="132"/>
        <item m="1" x="156"/>
        <item m="1" x="37"/>
        <item m="1" x="147"/>
        <item m="1" x="175"/>
        <item m="1" x="62"/>
        <item m="1" x="162"/>
        <item m="1" x="106"/>
        <item m="1" x="150"/>
        <item m="1" x="17"/>
        <item m="1" x="157"/>
        <item m="1" x="35"/>
        <item m="1" x="86"/>
        <item m="1" x="131"/>
        <item m="1" x="18"/>
        <item m="1" x="123"/>
        <item m="1" x="136"/>
        <item m="1" x="178"/>
        <item m="1" x="186"/>
        <item m="1" x="111"/>
        <item m="1" x="127"/>
        <item m="1" x="29"/>
        <item m="1" x="179"/>
        <item m="1" x="167"/>
        <item m="1" x="9"/>
        <item m="1" x="76"/>
        <item m="1" x="13"/>
        <item m="1" x="33"/>
        <item m="1" x="125"/>
        <item m="1" x="121"/>
        <item m="1" x="27"/>
        <item m="1" x="15"/>
        <item m="1" x="14"/>
        <item m="1" x="64"/>
        <item m="1" x="83"/>
        <item m="1" x="79"/>
        <item m="1" x="80"/>
        <item m="1" x="129"/>
        <item m="1" x="96"/>
        <item m="1" x="105"/>
        <item m="1" x="98"/>
        <item m="1" x="182"/>
        <item m="1" x="146"/>
        <item m="1" x="153"/>
        <item m="1" x="45"/>
        <item m="1" x="148"/>
        <item m="1" x="113"/>
        <item m="1" x="166"/>
        <item m="1" x="47"/>
        <item x="5"/>
        <item m="1" x="78"/>
        <item m="1" x="71"/>
        <item m="1" x="10"/>
        <item m="1" x="107"/>
        <item m="1" x="40"/>
        <item m="1" x="164"/>
        <item m="1" x="12"/>
        <item m="1" x="65"/>
        <item m="1" x="84"/>
        <item m="1" x="73"/>
        <item m="1" x="74"/>
        <item m="1" x="55"/>
        <item m="1" x="133"/>
        <item m="1" x="42"/>
        <item m="1" x="63"/>
        <item m="1" x="108"/>
        <item m="1" x="20"/>
        <item m="1" x="93"/>
        <item m="1" x="124"/>
        <item m="1" x="82"/>
        <item m="1" x="159"/>
        <item m="1" x="187"/>
        <item m="1" x="23"/>
        <item m="1" x="152"/>
        <item m="1" x="184"/>
        <item m="1" x="145"/>
        <item m="1" x="21"/>
        <item m="1" x="24"/>
        <item m="1" x="77"/>
        <item m="1" x="51"/>
        <item m="1" x="46"/>
        <item m="1" x="28"/>
        <item m="1" x="54"/>
        <item m="1" x="26"/>
        <item m="1" x="50"/>
        <item m="1" x="69"/>
        <item m="1" x="11"/>
        <item m="1" x="183"/>
        <item m="1" x="16"/>
        <item m="1" x="36"/>
        <item m="1" x="165"/>
        <item m="1" x="118"/>
        <item m="1" x="94"/>
        <item m="1" x="170"/>
        <item m="1" x="56"/>
        <item m="1" x="138"/>
        <item m="1" x="81"/>
        <item m="1" x="168"/>
        <item m="1" x="32"/>
        <item m="1" x="158"/>
        <item m="1" x="99"/>
        <item m="1" x="119"/>
        <item m="1" x="22"/>
        <item m="1" x="103"/>
        <item m="1" x="120"/>
        <item m="1" x="52"/>
        <item m="1" x="53"/>
        <item m="1" x="155"/>
        <item m="1" x="89"/>
        <item m="1" x="97"/>
        <item m="1" x="102"/>
        <item m="1" x="144"/>
        <item m="1" x="140"/>
        <item m="1" x="88"/>
        <item m="1" x="126"/>
        <item m="1" x="19"/>
        <item m="1" x="44"/>
        <item m="1" x="149"/>
        <item m="1" x="141"/>
        <item m="1" x="185"/>
        <item m="1" x="41"/>
        <item m="1" x="43"/>
        <item m="1" x="181"/>
        <item m="1" x="172"/>
        <item m="1" x="151"/>
        <item m="1" x="137"/>
        <item m="1" x="75"/>
        <item x="6"/>
        <item m="1" x="173"/>
        <item m="1" x="161"/>
        <item m="1" x="134"/>
        <item m="1" x="101"/>
        <item m="1" x="25"/>
        <item m="1" x="122"/>
        <item x="2"/>
        <item x="3"/>
        <item x="4"/>
        <item x="7"/>
        <item x="8"/>
        <item t="default"/>
      </items>
    </pivotField>
    <pivotField compact="0" outline="0" showAll="0"/>
  </pivotFields>
  <rowFields count="3">
    <field x="0"/>
    <field x="1"/>
    <field x="7"/>
  </rowFields>
  <rowItems count="9">
    <i>
      <x v="2"/>
      <x v="15"/>
      <x v="17"/>
    </i>
    <i>
      <x v="4"/>
      <x v="24"/>
      <x v="183"/>
    </i>
    <i>
      <x v="6"/>
      <x v="14"/>
      <x v="184"/>
    </i>
    <i>
      <x v="9"/>
      <x v="26"/>
      <x v="185"/>
    </i>
    <i>
      <x v="14"/>
      <x v="4"/>
      <x v="98"/>
    </i>
    <i>
      <x v="16"/>
      <x v="20"/>
      <x v="176"/>
    </i>
    <i>
      <x v="17"/>
      <x v="5"/>
      <x v="186"/>
    </i>
    <i>
      <x v="19"/>
      <x v="7"/>
      <x v="187"/>
    </i>
    <i t="grand">
      <x/>
    </i>
  </rowItems>
  <colItems count="1">
    <i/>
  </colItems>
  <formats count="24">
    <format dxfId="165">
      <pivotArea field="1" type="button" dataOnly="0" labelOnly="1" outline="0" axis="axisRow" fieldPosition="1"/>
    </format>
    <format dxfId="164">
      <pivotArea field="2" type="button" dataOnly="0" labelOnly="1" outline="0"/>
    </format>
    <format dxfId="163">
      <pivotArea field="1" type="button" dataOnly="0" labelOnly="1" outline="0" axis="axisRow" fieldPosition="1"/>
    </format>
    <format dxfId="162">
      <pivotArea field="2" type="button" dataOnly="0" labelOnly="1" outline="0"/>
    </format>
    <format dxfId="161">
      <pivotArea field="1" type="button" dataOnly="0" labelOnly="1" outline="0" axis="axisRow" fieldPosition="1"/>
    </format>
    <format dxfId="160">
      <pivotArea field="2" type="button" dataOnly="0" labelOnly="1" outline="0"/>
    </format>
    <format dxfId="159">
      <pivotArea type="all" dataOnly="0" outline="0" fieldPosition="0"/>
    </format>
    <format dxfId="158">
      <pivotArea field="1" type="button" dataOnly="0" labelOnly="1" outline="0" axis="axisRow" fieldPosition="1"/>
    </format>
    <format dxfId="157">
      <pivotArea field="2" type="button" dataOnly="0" labelOnly="1" outline="0"/>
    </format>
    <format dxfId="156">
      <pivotArea dataOnly="0" labelOnly="1" outline="0" fieldPosition="0">
        <references count="1">
          <reference field="1" count="0"/>
        </references>
      </pivotArea>
    </format>
    <format dxfId="155">
      <pivotArea dataOnly="0" labelOnly="1" grandRow="1" outline="0" fieldPosition="0"/>
    </format>
    <format dxfId="154">
      <pivotArea field="0" type="button" dataOnly="0" labelOnly="1" outline="0" axis="axisRow" fieldPosition="0"/>
    </format>
    <format dxfId="153">
      <pivotArea dataOnly="0" labelOnly="1" outline="0" fieldPosition="0">
        <references count="1">
          <reference field="0" count="9">
            <x v="2"/>
            <x v="4"/>
            <x v="5"/>
            <x v="8"/>
            <x v="13"/>
            <x v="15"/>
            <x v="16"/>
            <x v="18"/>
            <x v="23"/>
          </reference>
        </references>
      </pivotArea>
    </format>
    <format dxfId="152">
      <pivotArea field="7" type="button" dataOnly="0" labelOnly="1" outline="0" axis="axisRow" fieldPosition="2"/>
    </format>
    <format dxfId="151">
      <pivotArea dataOnly="0" labelOnly="1" grandRow="1" outline="0" fieldPosition="0"/>
    </format>
    <format dxfId="150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7" count="1">
            <x v="4"/>
          </reference>
        </references>
      </pivotArea>
    </format>
    <format dxfId="149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12"/>
          </reference>
          <reference field="7" count="1">
            <x v="5"/>
          </reference>
        </references>
      </pivotArea>
    </format>
    <format dxfId="148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7"/>
          </reference>
          <reference field="7" count="1">
            <x v="3"/>
          </reference>
        </references>
      </pivotArea>
    </format>
    <format dxfId="147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0"/>
          </reference>
          <reference field="7" count="1">
            <x v="6"/>
          </reference>
        </references>
      </pivotArea>
    </format>
    <format dxfId="146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21"/>
          </reference>
          <reference field="7" count="1">
            <x v="0"/>
          </reference>
        </references>
      </pivotArea>
    </format>
    <format dxfId="145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23"/>
          </reference>
          <reference field="7" count="1">
            <x v="0"/>
          </reference>
        </references>
      </pivotArea>
    </format>
    <format dxfId="144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"/>
          </reference>
          <reference field="7" count="1">
            <x v="2"/>
          </reference>
        </references>
      </pivotArea>
    </format>
    <format dxfId="143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22"/>
          </reference>
          <reference field="7" count="1">
            <x v="0"/>
          </reference>
        </references>
      </pivotArea>
    </format>
    <format dxfId="142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0"/>
          </reference>
          <reference field="7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100-000014000000}" name="TablaDinámica67" cacheId="2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B171:D177" firstHeaderRow="1" firstDataRow="1" firstDataCol="3"/>
  <pivotFields count="9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compact="0" outline="0" showAll="0">
      <items count="181">
        <item m="1" x="164"/>
        <item m="1" x="116"/>
        <item m="1" x="170"/>
        <item m="1" x="36"/>
        <item m="1" x="157"/>
        <item m="1" x="175"/>
        <item m="1" x="114"/>
        <item m="1" x="179"/>
        <item h="1" x="0"/>
        <item h="1" m="1" x="28"/>
        <item h="1" m="1" x="64"/>
        <item h="1" x="5"/>
        <item h="1" m="1" x="56"/>
        <item h="1" m="1" x="73"/>
        <item h="1" m="1" x="89"/>
        <item h="1" m="1" x="124"/>
        <item h="1" m="1" x="33"/>
        <item h="1" m="1" x="178"/>
        <item h="1" m="1" x="70"/>
        <item h="1" m="1" x="137"/>
        <item h="1" m="1" x="21"/>
        <item h="1" m="1" x="134"/>
        <item h="1" m="1" x="167"/>
        <item h="1" m="1" x="55"/>
        <item h="1" m="1" x="61"/>
        <item h="1" m="1" x="104"/>
        <item h="1" m="1" x="165"/>
        <item h="1" m="1" x="144"/>
        <item h="1" m="1" x="68"/>
        <item h="1" m="1" x="152"/>
        <item h="1" m="1" x="163"/>
        <item h="1" m="1" x="84"/>
        <item h="1" m="1" x="109"/>
        <item h="1" m="1" x="145"/>
        <item h="1" m="1" x="112"/>
        <item h="1" m="1" x="27"/>
        <item h="1" m="1" x="60"/>
        <item h="1" m="1" x="81"/>
        <item h="1" m="1" x="29"/>
        <item h="1" m="1" x="24"/>
        <item h="1" m="1" x="65"/>
        <item h="1" m="1" x="169"/>
        <item h="1" m="1" x="17"/>
        <item h="1" m="1" x="13"/>
        <item h="1" m="1" x="14"/>
        <item h="1" m="1" x="31"/>
        <item h="1" m="1" x="129"/>
        <item h="1" m="1" x="119"/>
        <item h="1" m="1" x="172"/>
        <item h="1" m="1" x="111"/>
        <item h="1" m="1" x="58"/>
        <item h="1" m="1" x="136"/>
        <item h="1" m="1" x="76"/>
        <item h="1" m="1" x="79"/>
        <item h="1" m="1" x="125"/>
        <item h="1" m="1" x="66"/>
        <item h="1" m="1" x="95"/>
        <item h="1" m="1" x="103"/>
        <item h="1" m="1" x="100"/>
        <item h="1" m="1" x="141"/>
        <item h="1" m="1" x="74"/>
        <item h="1" m="1" x="115"/>
        <item h="1" m="1" x="117"/>
        <item h="1" m="1" x="99"/>
        <item h="1" m="1" x="105"/>
        <item h="1" m="1" x="23"/>
        <item h="1" m="1" x="147"/>
        <item h="1" m="1" x="160"/>
        <item h="1" m="1" x="34"/>
        <item h="1" m="1" x="42"/>
        <item h="1" m="1" x="143"/>
        <item h="1" m="1" x="78"/>
        <item h="1" m="1" x="35"/>
        <item h="1" m="1" x="161"/>
        <item h="1" m="1" x="80"/>
        <item h="1" m="1" x="38"/>
        <item h="1" m="1" x="102"/>
        <item h="1" m="1" x="39"/>
        <item h="1" m="1" x="87"/>
        <item h="1" m="1" x="77"/>
        <item h="1" m="1" x="32"/>
        <item h="1" m="1" x="131"/>
        <item h="1" m="1" x="54"/>
        <item h="1" m="1" x="142"/>
        <item h="1" m="1" x="82"/>
        <item h="1" m="1" x="94"/>
        <item h="1" m="1" x="97"/>
        <item h="1" m="1" x="59"/>
        <item h="1" m="1" x="108"/>
        <item h="1" m="1" x="101"/>
        <item h="1" m="1" x="85"/>
        <item h="1" m="1" x="166"/>
        <item h="1" m="1" x="53"/>
        <item h="1" m="1" x="51"/>
        <item h="1" m="1" x="107"/>
        <item h="1" m="1" x="48"/>
        <item h="1" m="1" x="45"/>
        <item h="1" m="1" x="148"/>
        <item h="1" m="1" x="63"/>
        <item h="1" m="1" x="149"/>
        <item h="1" m="1" x="121"/>
        <item h="1" m="1" x="171"/>
        <item h="1" m="1" x="72"/>
        <item h="1" m="1" x="57"/>
        <item h="1" m="1" x="15"/>
        <item h="1" m="1" x="156"/>
        <item h="1" m="1" x="67"/>
        <item h="1" m="1" x="168"/>
        <item h="1" m="1" x="96"/>
        <item h="1" m="1" x="75"/>
        <item h="1" m="1" x="43"/>
        <item h="1" m="1" x="26"/>
        <item h="1" m="1" x="50"/>
        <item h="1" m="1" x="154"/>
        <item h="1" m="1" x="173"/>
        <item h="1" m="1" x="16"/>
        <item h="1" m="1" x="12"/>
        <item h="1" m="1" x="93"/>
        <item h="1" m="1" x="162"/>
        <item h="1" m="1" x="52"/>
        <item h="1" m="1" x="126"/>
        <item h="1" m="1" x="62"/>
        <item h="1" m="1" x="123"/>
        <item h="1" m="1" x="71"/>
        <item h="1" m="1" x="88"/>
        <item h="1" m="1" x="47"/>
        <item h="1" m="1" x="18"/>
        <item h="1" m="1" x="120"/>
        <item h="1" m="1" x="151"/>
        <item h="1" m="1" x="30"/>
        <item h="1" m="1" x="91"/>
        <item h="1" m="1" x="98"/>
        <item h="1" m="1" x="83"/>
        <item h="1" m="1" x="139"/>
        <item h="1" m="1" x="130"/>
        <item h="1" m="1" x="133"/>
        <item h="1" m="1" x="86"/>
        <item h="1" m="1" x="177"/>
        <item h="1" m="1" x="176"/>
        <item h="1" m="1" x="128"/>
        <item h="1" m="1" x="132"/>
        <item h="1" m="1" x="41"/>
        <item h="1" m="1" x="20"/>
        <item h="1" m="1" x="44"/>
        <item h="1" m="1" x="49"/>
        <item h="1" m="1" x="135"/>
        <item h="1" m="1" x="46"/>
        <item h="1" m="1" x="106"/>
        <item h="1" m="1" x="118"/>
        <item h="1" m="1" x="37"/>
        <item h="1" m="1" x="22"/>
        <item h="1" m="1" x="90"/>
        <item h="1" m="1" x="92"/>
        <item h="1" m="1" x="122"/>
        <item h="1" m="1" x="153"/>
        <item h="1" m="1" x="40"/>
        <item h="1" m="1" x="146"/>
        <item h="1" m="1" x="174"/>
        <item h="1" m="1" x="127"/>
        <item h="1" m="1" x="25"/>
        <item h="1" m="1" x="11"/>
        <item h="1" m="1" x="159"/>
        <item h="1" m="1" x="158"/>
        <item h="1" m="1" x="140"/>
        <item h="1" m="1" x="19"/>
        <item h="1" m="1" x="110"/>
        <item h="1" x="2"/>
        <item h="1" m="1" x="69"/>
        <item h="1" m="1" x="150"/>
        <item h="1" m="1" x="113"/>
        <item h="1" m="1" x="155"/>
        <item h="1" m="1" x="138"/>
        <item h="1" x="1"/>
        <item h="1" x="3"/>
        <item h="1" x="4"/>
        <item h="1" x="6"/>
        <item h="1" x="7"/>
        <item h="1" x="8"/>
        <item h="1" x="9"/>
        <item h="1"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89">
        <item m="1" x="117"/>
        <item m="1" x="34"/>
        <item m="1" x="60"/>
        <item m="1" x="72"/>
        <item m="1" x="18"/>
        <item m="1" x="16"/>
        <item m="1" x="36"/>
        <item m="1" x="81"/>
        <item h="1" x="0"/>
        <item m="1" x="174"/>
        <item m="1" x="53"/>
        <item m="1" x="58"/>
        <item m="1" x="168"/>
        <item m="1" x="65"/>
        <item m="1" x="37"/>
        <item m="1" x="68"/>
        <item m="1" x="43"/>
        <item m="1" x="165"/>
        <item m="1" x="21"/>
        <item m="1" x="28"/>
        <item m="1" x="93"/>
        <item m="1" x="80"/>
        <item m="1" x="50"/>
        <item m="1" x="153"/>
        <item m="1" x="115"/>
        <item m="1" x="88"/>
        <item m="1" x="129"/>
        <item m="1" x="154"/>
        <item m="1" x="127"/>
        <item m="1" x="31"/>
        <item m="1" x="45"/>
        <item m="1" x="35"/>
        <item m="1" x="142"/>
        <item m="1" x="176"/>
        <item m="1" x="29"/>
        <item m="1" x="175"/>
        <item m="1" x="186"/>
        <item m="1" x="138"/>
        <item m="1" x="183"/>
        <item m="1" x="112"/>
        <item m="1" x="52"/>
        <item m="1" x="160"/>
        <item m="1" x="105"/>
        <item m="1" x="173"/>
        <item m="1" x="146"/>
        <item m="1" x="64"/>
        <item m="1" x="156"/>
        <item m="1" x="82"/>
        <item m="1" x="25"/>
        <item m="1" x="128"/>
        <item m="1" x="171"/>
        <item m="1" x="14"/>
        <item m="1" x="122"/>
        <item m="1" x="155"/>
        <item m="1" x="137"/>
        <item m="1" x="24"/>
        <item m="1" x="55"/>
        <item m="1" x="79"/>
        <item m="1" x="87"/>
        <item m="1" x="111"/>
        <item m="1" x="177"/>
        <item m="1" x="130"/>
        <item m="1" x="6"/>
        <item m="1" x="8"/>
        <item m="1" x="27"/>
        <item m="1" x="124"/>
        <item m="1" x="121"/>
        <item m="1" x="23"/>
        <item m="1" x="41"/>
        <item m="1" x="11"/>
        <item m="1" x="10"/>
        <item m="1" x="180"/>
        <item m="1" x="161"/>
        <item m="1" x="144"/>
        <item m="1" x="76"/>
        <item m="1" x="126"/>
        <item m="1" x="61"/>
        <item m="1" x="94"/>
        <item m="1" x="104"/>
        <item m="1" x="96"/>
        <item m="1" x="140"/>
        <item m="1" x="67"/>
        <item m="1" x="69"/>
        <item m="1" x="116"/>
        <item m="1" x="118"/>
        <item m="1" x="106"/>
        <item m="1" x="20"/>
        <item m="1" x="150"/>
        <item m="1" x="30"/>
        <item m="1" x="39"/>
        <item m="1" x="143"/>
        <item m="1" x="113"/>
        <item m="1" x="164"/>
        <item m="1" x="33"/>
        <item m="1" x="107"/>
        <item m="1" x="133"/>
        <item m="1" x="66"/>
        <item m="1" x="74"/>
        <item m="1" x="132"/>
        <item m="1" x="178"/>
        <item m="1" x="56"/>
        <item m="1" x="152"/>
        <item m="1" x="40"/>
        <item m="1" x="47"/>
        <item m="1" x="109"/>
        <item m="1" x="75"/>
        <item m="1" x="103"/>
        <item m="1" x="42"/>
        <item m="1" x="99"/>
        <item m="1" x="32"/>
        <item m="1" x="148"/>
        <item m="1" x="62"/>
        <item m="1" x="139"/>
        <item m="1" x="187"/>
        <item m="1" x="182"/>
        <item m="1" x="102"/>
        <item m="1" x="163"/>
        <item m="1" x="131"/>
        <item m="1" x="12"/>
        <item m="1" x="78"/>
        <item m="1" x="48"/>
        <item m="1" x="70"/>
        <item m="1" x="22"/>
        <item m="1" x="181"/>
        <item m="1" x="7"/>
        <item m="1" x="162"/>
        <item m="1" x="92"/>
        <item m="1" x="169"/>
        <item m="1" x="49"/>
        <item m="1" x="120"/>
        <item m="1" x="57"/>
        <item m="1" x="90"/>
        <item m="1" x="97"/>
        <item m="1" x="44"/>
        <item m="1" x="77"/>
        <item m="1" x="167"/>
        <item m="1" x="26"/>
        <item m="1" x="158"/>
        <item m="1" x="119"/>
        <item m="1" x="17"/>
        <item m="1" x="71"/>
        <item m="1" x="149"/>
        <item m="1" x="101"/>
        <item m="1" x="114"/>
        <item m="1" x="125"/>
        <item m="1" x="46"/>
        <item m="1" x="15"/>
        <item m="1" x="86"/>
        <item m="1" x="51"/>
        <item m="1" x="100"/>
        <item m="1" x="63"/>
        <item m="1" x="135"/>
        <item m="1" x="84"/>
        <item m="1" x="110"/>
        <item m="1" x="185"/>
        <item m="1" x="184"/>
        <item m="1" x="134"/>
        <item m="1" x="38"/>
        <item m="1" x="145"/>
        <item m="1" x="136"/>
        <item m="1" x="108"/>
        <item m="1" x="83"/>
        <item m="1" x="19"/>
        <item m="1" x="9"/>
        <item m="1" x="89"/>
        <item m="1" x="91"/>
        <item m="1" x="123"/>
        <item m="1" x="159"/>
        <item m="1" x="179"/>
        <item m="1" x="59"/>
        <item m="1" x="73"/>
        <item m="1" x="141"/>
        <item m="1" x="170"/>
        <item m="1" x="147"/>
        <item m="1" x="166"/>
        <item m="1" x="54"/>
        <item m="1" x="157"/>
        <item x="3"/>
        <item m="1" x="85"/>
        <item m="1" x="13"/>
        <item m="1" x="151"/>
        <item x="1"/>
        <item m="1" x="95"/>
        <item m="1" x="172"/>
        <item m="1" x="98"/>
        <item x="2"/>
        <item x="4"/>
        <item x="5"/>
        <item t="default"/>
      </items>
    </pivotField>
  </pivotFields>
  <rowFields count="3">
    <field x="0"/>
    <field x="1"/>
    <field x="8"/>
  </rowFields>
  <rowItems count="6">
    <i>
      <x v="1"/>
      <x v="9"/>
      <x v="181"/>
    </i>
    <i>
      <x v="6"/>
      <x v="14"/>
      <x v="185"/>
    </i>
    <i>
      <x v="16"/>
      <x v="20"/>
      <x v="177"/>
    </i>
    <i>
      <x v="17"/>
      <x v="5"/>
      <x v="186"/>
    </i>
    <i>
      <x v="19"/>
      <x v="7"/>
      <x v="187"/>
    </i>
    <i t="grand">
      <x/>
    </i>
  </rowItems>
  <colItems count="1">
    <i/>
  </colItems>
  <formats count="23">
    <format dxfId="188">
      <pivotArea field="1" type="button" dataOnly="0" labelOnly="1" outline="0" axis="axisRow" fieldPosition="1"/>
    </format>
    <format dxfId="187">
      <pivotArea field="2" type="button" dataOnly="0" labelOnly="1" outline="0"/>
    </format>
    <format dxfId="186">
      <pivotArea field="1" type="button" dataOnly="0" labelOnly="1" outline="0" axis="axisRow" fieldPosition="1"/>
    </format>
    <format dxfId="185">
      <pivotArea field="2" type="button" dataOnly="0" labelOnly="1" outline="0"/>
    </format>
    <format dxfId="184">
      <pivotArea field="1" type="button" dataOnly="0" labelOnly="1" outline="0" axis="axisRow" fieldPosition="1"/>
    </format>
    <format dxfId="183">
      <pivotArea field="2" type="button" dataOnly="0" labelOnly="1" outline="0"/>
    </format>
    <format dxfId="182">
      <pivotArea type="all" dataOnly="0" outline="0" fieldPosition="0"/>
    </format>
    <format dxfId="181">
      <pivotArea field="1" type="button" dataOnly="0" labelOnly="1" outline="0" axis="axisRow" fieldPosition="1"/>
    </format>
    <format dxfId="180">
      <pivotArea field="2" type="button" dataOnly="0" labelOnly="1" outline="0"/>
    </format>
    <format dxfId="179">
      <pivotArea dataOnly="0" labelOnly="1" outline="0" fieldPosition="0">
        <references count="1">
          <reference field="1" count="0"/>
        </references>
      </pivotArea>
    </format>
    <format dxfId="178">
      <pivotArea dataOnly="0" labelOnly="1" grandRow="1" outline="0" fieldPosition="0"/>
    </format>
    <format dxfId="177">
      <pivotArea field="0" type="button" dataOnly="0" labelOnly="1" outline="0" axis="axisRow" fieldPosition="0"/>
    </format>
    <format dxfId="176">
      <pivotArea dataOnly="0" labelOnly="1" outline="0" fieldPosition="0">
        <references count="1">
          <reference field="0" count="9">
            <x v="2"/>
            <x v="4"/>
            <x v="5"/>
            <x v="8"/>
            <x v="13"/>
            <x v="15"/>
            <x v="16"/>
            <x v="18"/>
            <x v="23"/>
          </reference>
        </references>
      </pivotArea>
    </format>
    <format dxfId="175">
      <pivotArea field="8" type="button" dataOnly="0" labelOnly="1" outline="0" axis="axisRow" fieldPosition="2"/>
    </format>
    <format dxfId="174">
      <pivotArea dataOnly="0" labelOnly="1" grandRow="1" outline="0" fieldPosition="0"/>
    </format>
    <format dxfId="17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"/>
          </reference>
          <reference field="8" count="1">
            <x v="7"/>
          </reference>
        </references>
      </pivotArea>
    </format>
    <format dxfId="172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8" count="1">
            <x v="6"/>
          </reference>
        </references>
      </pivotArea>
    </format>
    <format dxfId="171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12"/>
          </reference>
          <reference field="8" count="1">
            <x v="2"/>
          </reference>
        </references>
      </pivotArea>
    </format>
    <format dxfId="170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7"/>
          </reference>
          <reference field="8" count="1">
            <x v="5"/>
          </reference>
        </references>
      </pivotArea>
    </format>
    <format dxfId="169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4"/>
          </reference>
          <reference field="8" count="1">
            <x v="3"/>
          </reference>
        </references>
      </pivotArea>
    </format>
    <format dxfId="168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0"/>
          </reference>
          <reference field="8" count="1">
            <x v="0"/>
          </reference>
        </references>
      </pivotArea>
    </format>
    <format dxfId="167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22"/>
          </reference>
          <reference field="8" count="1">
            <x v="4"/>
          </reference>
        </references>
      </pivotArea>
    </format>
    <format dxfId="166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"/>
          </reference>
          <reference field="8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100-00000F000000}" name="TablaDinámica62" cacheId="5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J143:L151" firstHeaderRow="1" firstDataRow="1" firstDataCol="3"/>
  <pivotFields count="9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compact="0" outline="0" showAll="0">
      <items count="169">
        <item m="1" x="147"/>
        <item m="1" x="98"/>
        <item h="1" x="0"/>
        <item m="1" x="90"/>
        <item m="1" x="94"/>
        <item m="1" x="78"/>
        <item m="1" x="129"/>
        <item m="1" x="45"/>
        <item h="1" m="1" x="43"/>
        <item h="1" m="1" x="86"/>
        <item h="1" m="1" x="71"/>
        <item h="1" m="1" x="151"/>
        <item h="1" m="1" x="33"/>
        <item h="1" m="1" x="157"/>
        <item h="1" x="8"/>
        <item h="1" x="4"/>
        <item h="1" m="1" x="100"/>
        <item h="1" m="1" x="55"/>
        <item h="1" m="1" x="53"/>
        <item h="1" m="1" x="11"/>
        <item h="1" m="1" x="59"/>
        <item h="1" m="1" x="58"/>
        <item h="1" m="1" x="32"/>
        <item h="1" m="1" x="114"/>
        <item h="1" m="1" x="57"/>
        <item h="1" m="1" x="164"/>
        <item h="1" m="1" x="127"/>
        <item h="1" m="1" x="17"/>
        <item h="1" m="1" x="65"/>
        <item h="1" m="1" x="123"/>
        <item h="1" m="1" x="158"/>
        <item h="1" m="1" x="31"/>
        <item h="1" m="1" x="161"/>
        <item h="1" m="1" x="93"/>
        <item h="1" m="1" x="23"/>
        <item h="1" m="1" x="49"/>
        <item h="1" m="1" x="96"/>
        <item h="1" m="1" x="80"/>
        <item h="1" m="1" x="128"/>
        <item h="1" m="1" x="124"/>
        <item h="1" m="1" x="137"/>
        <item h="1" m="1" x="118"/>
        <item h="1" m="1" x="102"/>
        <item h="1" m="1" x="115"/>
        <item h="1" m="1" x="85"/>
        <item h="1" m="1" x="74"/>
        <item h="1" m="1" x="156"/>
        <item h="1" m="1" x="104"/>
        <item h="1" m="1" x="167"/>
        <item h="1" m="1" x="87"/>
        <item h="1" m="1" x="110"/>
        <item h="1" m="1" x="36"/>
        <item h="1" m="1" x="131"/>
        <item h="1" m="1" x="9"/>
        <item h="1" m="1" x="145"/>
        <item h="1" m="1" x="146"/>
        <item h="1" m="1" x="149"/>
        <item h="1" m="1" x="38"/>
        <item h="1" m="1" x="16"/>
        <item h="1" m="1" x="21"/>
        <item h="1" m="1" x="139"/>
        <item h="1" m="1" x="39"/>
        <item h="1" m="1" x="63"/>
        <item h="1" m="1" x="67"/>
        <item h="1" m="1" x="24"/>
        <item h="1" m="1" x="106"/>
        <item h="1" m="1" x="119"/>
        <item h="1" m="1" x="66"/>
        <item h="1" m="1" x="19"/>
        <item h="1" m="1" x="28"/>
        <item h="1" m="1" x="121"/>
        <item h="1" m="1" x="56"/>
        <item h="1" m="1" x="89"/>
        <item h="1" m="1" x="108"/>
        <item h="1" m="1" x="154"/>
        <item h="1" m="1" x="29"/>
        <item h="1" m="1" x="153"/>
        <item h="1" m="1" x="130"/>
        <item h="1" m="1" x="51"/>
        <item h="1" m="1" x="143"/>
        <item h="1" m="1" x="52"/>
        <item h="1" m="1" x="40"/>
        <item h="1" m="1" x="160"/>
        <item h="1" m="1" x="68"/>
        <item h="1" m="1" x="82"/>
        <item h="1" m="1" x="79"/>
        <item h="1" m="1" x="150"/>
        <item h="1" m="1" x="117"/>
        <item h="1" m="1" x="163"/>
        <item h="1" m="1" x="18"/>
        <item h="1" m="1" x="107"/>
        <item h="1" x="6"/>
        <item h="1" m="1" x="15"/>
        <item h="1" m="1" x="88"/>
        <item h="1" m="1" x="165"/>
        <item h="1" m="1" x="54"/>
        <item h="1" m="1" x="35"/>
        <item h="1" m="1" x="144"/>
        <item h="1" m="1" x="10"/>
        <item h="1" m="1" x="62"/>
        <item h="1" m="1" x="25"/>
        <item h="1" m="1" x="91"/>
        <item h="1" m="1" x="112"/>
        <item h="1" m="1" x="61"/>
        <item h="1" m="1" x="14"/>
        <item h="1" m="1" x="132"/>
        <item h="1" m="1" x="136"/>
        <item h="1" m="1" x="64"/>
        <item h="1" m="1" x="77"/>
        <item h="1" m="1" x="135"/>
        <item h="1" m="1" x="27"/>
        <item h="1" m="1" x="134"/>
        <item h="1" m="1" x="109"/>
        <item h="1" m="1" x="141"/>
        <item h="1" m="1" x="73"/>
        <item h="1" m="1" x="26"/>
        <item h="1" m="1" x="69"/>
        <item h="1" m="1" x="20"/>
        <item h="1" m="1" x="75"/>
        <item h="1" x="7"/>
        <item h="1" m="1" x="95"/>
        <item h="1" m="1" x="50"/>
        <item h="1" m="1" x="122"/>
        <item h="1" m="1" x="83"/>
        <item h="1" m="1" x="138"/>
        <item h="1" m="1" x="47"/>
        <item h="1" m="1" x="142"/>
        <item h="1" m="1" x="166"/>
        <item h="1" m="1" x="162"/>
        <item h="1" m="1" x="103"/>
        <item h="1" m="1" x="97"/>
        <item h="1" m="1" x="101"/>
        <item h="1" m="1" x="76"/>
        <item h="1" m="1" x="126"/>
        <item h="1" m="1" x="12"/>
        <item h="1" m="1" x="159"/>
        <item h="1" m="1" x="60"/>
        <item h="1" m="1" x="70"/>
        <item h="1" m="1" x="72"/>
        <item h="1" m="1" x="111"/>
        <item h="1" m="1" x="148"/>
        <item h="1" m="1" x="48"/>
        <item h="1" m="1" x="120"/>
        <item h="1" m="1" x="152"/>
        <item h="1" m="1" x="140"/>
        <item h="1" m="1" x="30"/>
        <item h="1" m="1" x="37"/>
        <item h="1" m="1" x="81"/>
        <item h="1" m="1" x="13"/>
        <item h="1" m="1" x="46"/>
        <item h="1" m="1" x="41"/>
        <item h="1" m="1" x="116"/>
        <item h="1" m="1" x="84"/>
        <item h="1" m="1" x="92"/>
        <item h="1" m="1" x="113"/>
        <item h="1" m="1" x="155"/>
        <item h="1" m="1" x="34"/>
        <item h="1" m="1" x="44"/>
        <item h="1" m="1" x="99"/>
        <item h="1" m="1" x="125"/>
        <item h="1" m="1" x="133"/>
        <item h="1" m="1" x="42"/>
        <item h="1" m="1" x="105"/>
        <item h="1" m="1" x="22"/>
        <item h="1" x="1"/>
        <item h="1" x="2"/>
        <item h="1" x="3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68">
        <item h="1" m="1" x="8"/>
        <item h="1" x="0"/>
        <item m="1" x="115"/>
        <item m="1" x="57"/>
        <item x="6"/>
        <item m="1" x="159"/>
        <item m="1" x="72"/>
        <item m="1" x="130"/>
        <item m="1" x="91"/>
        <item m="1" x="46"/>
        <item m="1" x="95"/>
        <item m="1" x="113"/>
        <item m="1" x="53"/>
        <item m="1" x="142"/>
        <item m="1" x="38"/>
        <item m="1" x="73"/>
        <item m="1" x="157"/>
        <item m="1" x="41"/>
        <item m="1" x="54"/>
        <item m="1" x="141"/>
        <item m="1" x="14"/>
        <item m="1" x="153"/>
        <item m="1" x="111"/>
        <item m="1" x="140"/>
        <item m="1" x="106"/>
        <item m="1" x="75"/>
        <item m="1" x="10"/>
        <item m="1" x="100"/>
        <item m="1" x="112"/>
        <item m="1" x="80"/>
        <item m="1" x="129"/>
        <item m="1" x="42"/>
        <item m="1" x="65"/>
        <item m="1" x="68"/>
        <item m="1" x="103"/>
        <item m="1" x="110"/>
        <item m="1" x="96"/>
        <item m="1" x="109"/>
        <item m="1" x="11"/>
        <item m="1" x="12"/>
        <item m="1" x="67"/>
        <item m="1" x="13"/>
        <item m="1" x="99"/>
        <item m="1" x="158"/>
        <item m="1" x="21"/>
        <item m="1" x="74"/>
        <item x="7"/>
        <item m="1" x="104"/>
        <item m="1" x="146"/>
        <item m="1" x="94"/>
        <item m="1" x="49"/>
        <item m="1" x="108"/>
        <item m="1" x="117"/>
        <item m="1" x="126"/>
        <item m="1" x="25"/>
        <item m="1" x="125"/>
        <item m="1" x="165"/>
        <item m="1" x="137"/>
        <item m="1" x="28"/>
        <item x="1"/>
        <item m="1" x="47"/>
        <item m="1" x="26"/>
        <item m="1" x="36"/>
        <item m="1" x="44"/>
        <item m="1" x="161"/>
        <item m="1" x="116"/>
        <item m="1" x="121"/>
        <item m="1" x="48"/>
        <item m="1" x="43"/>
        <item m="1" x="30"/>
        <item m="1" x="131"/>
        <item m="1" x="27"/>
        <item m="1" x="166"/>
        <item m="1" x="163"/>
        <item m="1" x="90"/>
        <item m="1" x="150"/>
        <item m="1" x="155"/>
        <item m="1" x="147"/>
        <item m="1" x="97"/>
        <item m="1" x="120"/>
        <item m="1" x="102"/>
        <item m="1" x="55"/>
        <item m="1" x="122"/>
        <item m="1" x="143"/>
        <item m="1" x="15"/>
        <item m="1" x="35"/>
        <item m="1" x="149"/>
        <item m="1" x="22"/>
        <item m="1" x="83"/>
        <item m="1" x="71"/>
        <item m="1" x="105"/>
        <item m="1" x="87"/>
        <item m="1" x="34"/>
        <item m="1" x="39"/>
        <item m="1" x="134"/>
        <item m="1" x="138"/>
        <item m="1" x="62"/>
        <item m="1" x="19"/>
        <item m="1" x="23"/>
        <item m="1" x="156"/>
        <item m="1" x="164"/>
        <item m="1" x="101"/>
        <item m="1" x="32"/>
        <item m="1" x="18"/>
        <item m="1" x="45"/>
        <item m="1" x="162"/>
        <item m="1" x="76"/>
        <item m="1" x="84"/>
        <item m="1" x="79"/>
        <item m="1" x="9"/>
        <item m="1" x="66"/>
        <item m="1" x="29"/>
        <item m="1" x="78"/>
        <item m="1" x="69"/>
        <item m="1" x="118"/>
        <item m="1" x="152"/>
        <item m="1" x="133"/>
        <item m="1" x="127"/>
        <item m="1" x="123"/>
        <item m="1" x="160"/>
        <item m="1" x="50"/>
        <item m="1" x="33"/>
        <item m="1" x="59"/>
        <item m="1" x="135"/>
        <item m="1" x="114"/>
        <item m="1" x="24"/>
        <item m="1" x="154"/>
        <item m="1" x="124"/>
        <item m="1" x="93"/>
        <item m="1" x="40"/>
        <item m="1" x="107"/>
        <item m="1" x="85"/>
        <item m="1" x="20"/>
        <item m="1" x="151"/>
        <item m="1" x="148"/>
        <item m="1" x="98"/>
        <item m="1" x="139"/>
        <item m="1" x="128"/>
        <item m="1" x="77"/>
        <item m="1" x="60"/>
        <item m="1" x="132"/>
        <item m="1" x="63"/>
        <item m="1" x="64"/>
        <item m="1" x="88"/>
        <item m="1" x="144"/>
        <item m="1" x="145"/>
        <item x="4"/>
        <item m="1" x="82"/>
        <item m="1" x="16"/>
        <item m="1" x="119"/>
        <item m="1" x="52"/>
        <item m="1" x="86"/>
        <item m="1" x="89"/>
        <item m="1" x="31"/>
        <item m="1" x="58"/>
        <item m="1" x="61"/>
        <item m="1" x="37"/>
        <item x="5"/>
        <item m="1" x="136"/>
        <item m="1" x="81"/>
        <item m="1" x="92"/>
        <item m="1" x="70"/>
        <item m="1" x="51"/>
        <item m="1" x="56"/>
        <item m="1" x="17"/>
        <item x="2"/>
        <item x="3"/>
        <item t="default"/>
      </items>
    </pivotField>
    <pivotField compact="0" outline="0" showAll="0"/>
  </pivotFields>
  <rowFields count="3">
    <field x="0"/>
    <field x="1"/>
    <field x="7"/>
  </rowFields>
  <rowItems count="8">
    <i>
      <x v="4"/>
      <x v="24"/>
      <x v="59"/>
    </i>
    <i>
      <x v="6"/>
      <x v="14"/>
      <x v="165"/>
    </i>
    <i>
      <x v="9"/>
      <x v="26"/>
      <x v="166"/>
    </i>
    <i>
      <x v="15"/>
      <x v="19"/>
      <x v="146"/>
    </i>
    <i>
      <x v="16"/>
      <x v="20"/>
      <x v="157"/>
    </i>
    <i>
      <x v="17"/>
      <x v="5"/>
      <x v="4"/>
    </i>
    <i>
      <x v="19"/>
      <x v="7"/>
      <x v="46"/>
    </i>
    <i t="grand">
      <x/>
    </i>
  </rowItems>
  <colItems count="1">
    <i/>
  </colItems>
  <formats count="20">
    <format dxfId="208">
      <pivotArea field="1" type="button" dataOnly="0" labelOnly="1" outline="0" axis="axisRow" fieldPosition="1"/>
    </format>
    <format dxfId="207">
      <pivotArea field="2" type="button" dataOnly="0" labelOnly="1" outline="0"/>
    </format>
    <format dxfId="206">
      <pivotArea field="1" type="button" dataOnly="0" labelOnly="1" outline="0" axis="axisRow" fieldPosition="1"/>
    </format>
    <format dxfId="205">
      <pivotArea field="2" type="button" dataOnly="0" labelOnly="1" outline="0"/>
    </format>
    <format dxfId="204">
      <pivotArea field="1" type="button" dataOnly="0" labelOnly="1" outline="0" axis="axisRow" fieldPosition="1"/>
    </format>
    <format dxfId="203">
      <pivotArea field="2" type="button" dataOnly="0" labelOnly="1" outline="0"/>
    </format>
    <format dxfId="202">
      <pivotArea type="all" dataOnly="0" outline="0" fieldPosition="0"/>
    </format>
    <format dxfId="201">
      <pivotArea field="1" type="button" dataOnly="0" labelOnly="1" outline="0" axis="axisRow" fieldPosition="1"/>
    </format>
    <format dxfId="200">
      <pivotArea field="2" type="button" dataOnly="0" labelOnly="1" outline="0"/>
    </format>
    <format dxfId="199">
      <pivotArea dataOnly="0" labelOnly="1" outline="0" fieldPosition="0">
        <references count="1">
          <reference field="1" count="0"/>
        </references>
      </pivotArea>
    </format>
    <format dxfId="198">
      <pivotArea dataOnly="0" labelOnly="1" grandRow="1" outline="0" fieldPosition="0"/>
    </format>
    <format dxfId="197">
      <pivotArea field="0" type="button" dataOnly="0" labelOnly="1" outline="0" axis="axisRow" fieldPosition="0"/>
    </format>
    <format dxfId="196">
      <pivotArea dataOnly="0" labelOnly="1" outline="0" fieldPosition="0">
        <references count="1">
          <reference field="0" count="9">
            <x v="2"/>
            <x v="4"/>
            <x v="5"/>
            <x v="8"/>
            <x v="13"/>
            <x v="15"/>
            <x v="16"/>
            <x v="18"/>
            <x v="23"/>
          </reference>
        </references>
      </pivotArea>
    </format>
    <format dxfId="195">
      <pivotArea field="7" type="button" dataOnly="0" labelOnly="1" outline="0" axis="axisRow" fieldPosition="2"/>
    </format>
    <format dxfId="194">
      <pivotArea dataOnly="0" labelOnly="1" grandRow="1" outline="0" fieldPosition="0"/>
    </format>
    <format dxfId="19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"/>
          </reference>
          <reference field="7" count="0"/>
        </references>
      </pivotArea>
    </format>
    <format dxfId="19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"/>
          </reference>
          <reference field="7" count="1">
            <x v="40"/>
          </reference>
        </references>
      </pivotArea>
    </format>
    <format dxfId="19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"/>
          </reference>
          <reference field="7" count="1">
            <x v="55"/>
          </reference>
        </references>
      </pivotArea>
    </format>
    <format dxfId="19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"/>
          </reference>
          <reference field="7" count="1">
            <x v="67"/>
          </reference>
        </references>
      </pivotArea>
    </format>
    <format dxfId="18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"/>
          </reference>
          <reference field="7" count="1">
            <x v="12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100-00000B000000}" name="TablaDinámica58" cacheId="2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B87:D96" firstHeaderRow="1" firstDataRow="1" firstDataCol="3"/>
  <pivotFields count="9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compact="0" outline="0" showAll="0">
      <items count="181">
        <item m="1" x="164"/>
        <item m="1" x="116"/>
        <item m="1" x="170"/>
        <item m="1" x="36"/>
        <item m="1" x="157"/>
        <item m="1" x="175"/>
        <item m="1" x="114"/>
        <item m="1" x="179"/>
        <item h="1" x="0"/>
        <item h="1" m="1" x="28"/>
        <item h="1" m="1" x="64"/>
        <item h="1" x="5"/>
        <item h="1" m="1" x="56"/>
        <item h="1" m="1" x="73"/>
        <item h="1" m="1" x="89"/>
        <item h="1" m="1" x="124"/>
        <item h="1" m="1" x="33"/>
        <item h="1" m="1" x="178"/>
        <item h="1" m="1" x="70"/>
        <item h="1" m="1" x="137"/>
        <item h="1" m="1" x="21"/>
        <item h="1" m="1" x="134"/>
        <item h="1" m="1" x="167"/>
        <item h="1" m="1" x="55"/>
        <item h="1" m="1" x="61"/>
        <item h="1" m="1" x="104"/>
        <item h="1" m="1" x="165"/>
        <item h="1" m="1" x="144"/>
        <item h="1" m="1" x="68"/>
        <item h="1" m="1" x="152"/>
        <item h="1" m="1" x="163"/>
        <item h="1" m="1" x="84"/>
        <item h="1" m="1" x="109"/>
        <item h="1" m="1" x="145"/>
        <item h="1" m="1" x="112"/>
        <item h="1" m="1" x="27"/>
        <item h="1" m="1" x="60"/>
        <item h="1" m="1" x="81"/>
        <item h="1" m="1" x="29"/>
        <item h="1" m="1" x="24"/>
        <item h="1" m="1" x="65"/>
        <item h="1" m="1" x="169"/>
        <item h="1" m="1" x="17"/>
        <item h="1" m="1" x="13"/>
        <item h="1" m="1" x="14"/>
        <item h="1" m="1" x="31"/>
        <item h="1" m="1" x="129"/>
        <item h="1" m="1" x="119"/>
        <item h="1" m="1" x="172"/>
        <item h="1" m="1" x="111"/>
        <item h="1" m="1" x="58"/>
        <item h="1" m="1" x="136"/>
        <item h="1" m="1" x="76"/>
        <item h="1" m="1" x="79"/>
        <item h="1" m="1" x="125"/>
        <item h="1" m="1" x="66"/>
        <item h="1" m="1" x="95"/>
        <item h="1" m="1" x="103"/>
        <item h="1" m="1" x="100"/>
        <item h="1" m="1" x="141"/>
        <item h="1" m="1" x="74"/>
        <item h="1" m="1" x="115"/>
        <item h="1" m="1" x="117"/>
        <item h="1" m="1" x="99"/>
        <item h="1" m="1" x="105"/>
        <item h="1" m="1" x="23"/>
        <item h="1" m="1" x="147"/>
        <item h="1" m="1" x="160"/>
        <item h="1" m="1" x="34"/>
        <item h="1" m="1" x="42"/>
        <item h="1" m="1" x="143"/>
        <item h="1" m="1" x="78"/>
        <item h="1" m="1" x="35"/>
        <item h="1" m="1" x="161"/>
        <item h="1" m="1" x="80"/>
        <item h="1" m="1" x="38"/>
        <item h="1" m="1" x="102"/>
        <item h="1" m="1" x="39"/>
        <item h="1" m="1" x="87"/>
        <item h="1" m="1" x="77"/>
        <item h="1" m="1" x="32"/>
        <item h="1" m="1" x="131"/>
        <item h="1" m="1" x="54"/>
        <item h="1" m="1" x="142"/>
        <item h="1" m="1" x="82"/>
        <item h="1" m="1" x="94"/>
        <item h="1" m="1" x="97"/>
        <item h="1" m="1" x="59"/>
        <item h="1" m="1" x="108"/>
        <item h="1" m="1" x="101"/>
        <item h="1" m="1" x="85"/>
        <item h="1" m="1" x="166"/>
        <item h="1" m="1" x="53"/>
        <item h="1" m="1" x="51"/>
        <item h="1" m="1" x="107"/>
        <item h="1" m="1" x="48"/>
        <item h="1" m="1" x="45"/>
        <item h="1" m="1" x="148"/>
        <item h="1" m="1" x="63"/>
        <item h="1" m="1" x="149"/>
        <item h="1" m="1" x="121"/>
        <item h="1" m="1" x="171"/>
        <item h="1" m="1" x="72"/>
        <item h="1" m="1" x="57"/>
        <item h="1" m="1" x="15"/>
        <item h="1" m="1" x="156"/>
        <item h="1" m="1" x="67"/>
        <item h="1" m="1" x="168"/>
        <item h="1" m="1" x="96"/>
        <item h="1" m="1" x="75"/>
        <item h="1" m="1" x="43"/>
        <item h="1" m="1" x="26"/>
        <item h="1" m="1" x="50"/>
        <item h="1" m="1" x="154"/>
        <item h="1" m="1" x="173"/>
        <item h="1" m="1" x="16"/>
        <item h="1" m="1" x="12"/>
        <item h="1" m="1" x="93"/>
        <item h="1" m="1" x="162"/>
        <item h="1" m="1" x="52"/>
        <item h="1" m="1" x="126"/>
        <item h="1" m="1" x="62"/>
        <item h="1" m="1" x="123"/>
        <item h="1" m="1" x="71"/>
        <item h="1" m="1" x="88"/>
        <item h="1" m="1" x="47"/>
        <item h="1" m="1" x="18"/>
        <item h="1" m="1" x="120"/>
        <item h="1" m="1" x="151"/>
        <item h="1" m="1" x="30"/>
        <item h="1" m="1" x="91"/>
        <item h="1" m="1" x="98"/>
        <item h="1" m="1" x="83"/>
        <item h="1" m="1" x="139"/>
        <item h="1" m="1" x="130"/>
        <item h="1" m="1" x="133"/>
        <item h="1" m="1" x="86"/>
        <item h="1" m="1" x="177"/>
        <item h="1" m="1" x="176"/>
        <item h="1" m="1" x="128"/>
        <item h="1" m="1" x="132"/>
        <item h="1" m="1" x="41"/>
        <item h="1" m="1" x="20"/>
        <item h="1" m="1" x="44"/>
        <item h="1" m="1" x="49"/>
        <item h="1" m="1" x="135"/>
        <item h="1" m="1" x="46"/>
        <item h="1" m="1" x="106"/>
        <item h="1" m="1" x="118"/>
        <item h="1" m="1" x="37"/>
        <item h="1" m="1" x="22"/>
        <item h="1" m="1" x="90"/>
        <item h="1" m="1" x="92"/>
        <item h="1" m="1" x="122"/>
        <item h="1" m="1" x="153"/>
        <item h="1" m="1" x="40"/>
        <item h="1" m="1" x="146"/>
        <item h="1" m="1" x="174"/>
        <item h="1" m="1" x="127"/>
        <item h="1" m="1" x="25"/>
        <item h="1" m="1" x="11"/>
        <item h="1" m="1" x="159"/>
        <item h="1" m="1" x="158"/>
        <item h="1" m="1" x="140"/>
        <item h="1" m="1" x="19"/>
        <item h="1" m="1" x="110"/>
        <item h="1" x="2"/>
        <item h="1" m="1" x="69"/>
        <item h="1" m="1" x="150"/>
        <item h="1" m="1" x="113"/>
        <item h="1" m="1" x="155"/>
        <item h="1" m="1" x="138"/>
        <item h="1" x="1"/>
        <item h="1" x="3"/>
        <item h="1" x="4"/>
        <item h="1" x="6"/>
        <item h="1" x="7"/>
        <item h="1" x="8"/>
        <item h="1" x="9"/>
        <item h="1" x="10"/>
        <item t="default"/>
      </items>
    </pivotField>
    <pivotField compact="0" outline="0" showAll="0"/>
    <pivotField compact="0" outline="0" showAll="0"/>
    <pivotField axis="axisRow" compact="0" outline="0" showAll="0">
      <items count="185">
        <item m="1" x="167"/>
        <item m="1" x="117"/>
        <item m="1" x="38"/>
        <item m="1" x="103"/>
        <item m="1" x="132"/>
        <item m="1" x="18"/>
        <item m="1" x="53"/>
        <item h="1" x="0"/>
        <item m="1" x="36"/>
        <item m="1" x="30"/>
        <item m="1" x="35"/>
        <item m="1" x="65"/>
        <item m="1" x="176"/>
        <item m="1" x="160"/>
        <item m="1" x="136"/>
        <item m="1" x="166"/>
        <item m="1" x="142"/>
        <item m="1" x="74"/>
        <item m="1" x="34"/>
        <item m="1" x="114"/>
        <item m="1" x="118"/>
        <item m="1" x="112"/>
        <item m="1" x="24"/>
        <item m="1" x="148"/>
        <item m="1" x="162"/>
        <item m="1" x="110"/>
        <item m="1" x="84"/>
        <item m="1" x="80"/>
        <item m="1" x="71"/>
        <item m="1" x="127"/>
        <item m="1" x="143"/>
        <item m="1" x="172"/>
        <item m="1" x="82"/>
        <item m="1" x="31"/>
        <item m="1" x="37"/>
        <item m="1" x="158"/>
        <item m="1" x="171"/>
        <item m="1" x="77"/>
        <item m="1" x="138"/>
        <item m="1" x="164"/>
        <item m="1" x="133"/>
        <item m="1" x="134"/>
        <item m="1" x="72"/>
        <item m="1" x="75"/>
        <item m="1" x="93"/>
        <item m="1" x="109"/>
        <item m="1" x="85"/>
        <item m="1" x="40"/>
        <item m="1" x="101"/>
        <item m="1" x="41"/>
        <item m="1" x="91"/>
        <item m="1" x="111"/>
        <item m="1" x="13"/>
        <item m="1" x="174"/>
        <item m="1" x="33"/>
        <item m="1" x="12"/>
        <item x="1"/>
        <item m="1" x="61"/>
        <item m="1" x="107"/>
        <item m="1" x="98"/>
        <item m="1" x="100"/>
        <item m="1" x="90"/>
        <item m="1" x="170"/>
        <item m="1" x="29"/>
        <item m="1" x="59"/>
        <item m="1" x="45"/>
        <item m="1" x="64"/>
        <item m="1" x="46"/>
        <item m="1" x="128"/>
        <item m="1" x="47"/>
        <item m="1" x="115"/>
        <item m="1" x="92"/>
        <item m="1" x="67"/>
        <item m="1" x="56"/>
        <item m="1" x="151"/>
        <item m="1" x="113"/>
        <item m="1" x="131"/>
        <item m="1" x="152"/>
        <item m="1" x="125"/>
        <item m="1" x="17"/>
        <item m="1" x="169"/>
        <item m="1" x="60"/>
        <item m="1" x="175"/>
        <item m="1" x="156"/>
        <item m="1" x="102"/>
        <item m="1" x="168"/>
        <item m="1" x="145"/>
        <item m="1" x="70"/>
        <item m="1" x="153"/>
        <item m="1" x="89"/>
        <item m="1" x="130"/>
        <item m="1" x="139"/>
        <item m="1" x="173"/>
        <item m="1" x="181"/>
        <item m="1" x="108"/>
        <item m="1" x="28"/>
        <item m="1" x="9"/>
        <item m="1" x="14"/>
        <item m="1" x="32"/>
        <item m="1" x="122"/>
        <item m="1" x="42"/>
        <item m="1" x="96"/>
        <item m="1" x="52"/>
        <item m="1" x="81"/>
        <item m="1" x="62"/>
        <item m="1" x="141"/>
        <item m="1" x="149"/>
        <item m="1" x="69"/>
        <item m="1" x="157"/>
        <item m="1" x="137"/>
        <item m="1" x="73"/>
        <item m="1" x="123"/>
        <item m="1" x="150"/>
        <item m="1" x="78"/>
        <item m="1" x="10"/>
        <item m="1" x="126"/>
        <item m="1" x="87"/>
        <item m="1" x="57"/>
        <item m="1" x="94"/>
        <item m="1" x="68"/>
        <item x="4"/>
        <item m="1" x="63"/>
        <item m="1" x="179"/>
        <item m="1" x="144"/>
        <item m="1" x="83"/>
        <item m="1" x="135"/>
        <item m="1" x="105"/>
        <item m="1" x="106"/>
        <item m="1" x="146"/>
        <item m="1" x="23"/>
        <item m="1" x="15"/>
        <item m="1" x="129"/>
        <item m="1" x="88"/>
        <item m="1" x="22"/>
        <item m="1" x="86"/>
        <item m="1" x="147"/>
        <item m="1" x="178"/>
        <item m="1" x="26"/>
        <item m="1" x="161"/>
        <item m="1" x="16"/>
        <item m="1" x="154"/>
        <item m="1" x="25"/>
        <item m="1" x="58"/>
        <item m="1" x="159"/>
        <item m="1" x="140"/>
        <item m="1" x="19"/>
        <item m="1" x="180"/>
        <item m="1" x="79"/>
        <item m="1" x="49"/>
        <item m="1" x="27"/>
        <item m="1" x="51"/>
        <item m="1" x="155"/>
        <item m="1" x="48"/>
        <item m="1" x="121"/>
        <item m="1" x="177"/>
        <item m="1" x="11"/>
        <item m="1" x="95"/>
        <item m="1" x="165"/>
        <item m="1" x="54"/>
        <item m="1" x="163"/>
        <item m="1" x="44"/>
        <item m="1" x="97"/>
        <item m="1" x="119"/>
        <item m="1" x="20"/>
        <item m="1" x="99"/>
        <item m="1" x="120"/>
        <item m="1" x="50"/>
        <item m="1" x="21"/>
        <item m="1" x="183"/>
        <item m="1" x="43"/>
        <item m="1" x="104"/>
        <item m="1" x="116"/>
        <item m="1" x="39"/>
        <item m="1" x="76"/>
        <item m="1" x="182"/>
        <item x="3"/>
        <item m="1" x="55"/>
        <item m="1" x="124"/>
        <item m="1" x="66"/>
        <item x="2"/>
        <item x="5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</pivotFields>
  <rowFields count="3">
    <field x="0"/>
    <field x="1"/>
    <field x="5"/>
  </rowFields>
  <rowItems count="9">
    <i>
      <x v="1"/>
      <x v="9"/>
      <x v="56"/>
    </i>
    <i>
      <x v="6"/>
      <x v="14"/>
      <x v="179"/>
    </i>
    <i>
      <x v="7"/>
      <x v="12"/>
      <x v="175"/>
    </i>
    <i>
      <x v="9"/>
      <x v="26"/>
      <x v="120"/>
    </i>
    <i>
      <x v="11"/>
      <x/>
      <x v="180"/>
    </i>
    <i>
      <x v="16"/>
      <x v="20"/>
      <x v="181"/>
    </i>
    <i>
      <x v="17"/>
      <x v="5"/>
      <x v="182"/>
    </i>
    <i>
      <x v="19"/>
      <x v="7"/>
      <x v="183"/>
    </i>
    <i t="grand">
      <x/>
    </i>
  </rowItems>
  <colItems count="1">
    <i/>
  </colItems>
  <formats count="35">
    <format dxfId="243">
      <pivotArea field="1" type="button" dataOnly="0" labelOnly="1" outline="0" axis="axisRow" fieldPosition="1"/>
    </format>
    <format dxfId="242">
      <pivotArea field="2" type="button" dataOnly="0" labelOnly="1" outline="0"/>
    </format>
    <format dxfId="241">
      <pivotArea field="1" type="button" dataOnly="0" labelOnly="1" outline="0" axis="axisRow" fieldPosition="1"/>
    </format>
    <format dxfId="240">
      <pivotArea field="2" type="button" dataOnly="0" labelOnly="1" outline="0"/>
    </format>
    <format dxfId="239">
      <pivotArea field="1" type="button" dataOnly="0" labelOnly="1" outline="0" axis="axisRow" fieldPosition="1"/>
    </format>
    <format dxfId="238">
      <pivotArea field="2" type="button" dataOnly="0" labelOnly="1" outline="0"/>
    </format>
    <format dxfId="237">
      <pivotArea type="all" dataOnly="0" outline="0" fieldPosition="0"/>
    </format>
    <format dxfId="236">
      <pivotArea field="1" type="button" dataOnly="0" labelOnly="1" outline="0" axis="axisRow" fieldPosition="1"/>
    </format>
    <format dxfId="235">
      <pivotArea field="2" type="button" dataOnly="0" labelOnly="1" outline="0"/>
    </format>
    <format dxfId="234">
      <pivotArea dataOnly="0" labelOnly="1" outline="0" fieldPosition="0">
        <references count="1">
          <reference field="1" count="0"/>
        </references>
      </pivotArea>
    </format>
    <format dxfId="233">
      <pivotArea dataOnly="0" labelOnly="1" grandRow="1" outline="0" fieldPosition="0"/>
    </format>
    <format dxfId="232">
      <pivotArea field="0" type="button" dataOnly="0" labelOnly="1" outline="0" axis="axisRow" fieldPosition="0"/>
    </format>
    <format dxfId="231">
      <pivotArea dataOnly="0" labelOnly="1" outline="0" fieldPosition="0">
        <references count="1">
          <reference field="0" count="9">
            <x v="2"/>
            <x v="4"/>
            <x v="5"/>
            <x v="8"/>
            <x v="13"/>
            <x v="15"/>
            <x v="16"/>
            <x v="18"/>
            <x v="23"/>
          </reference>
        </references>
      </pivotArea>
    </format>
    <format dxfId="230">
      <pivotArea field="5" type="button" dataOnly="0" labelOnly="1" outline="0" axis="axisRow" fieldPosition="2"/>
    </format>
    <format dxfId="229">
      <pivotArea dataOnly="0" labelOnly="1" grandRow="1" outline="0" fieldPosition="0"/>
    </format>
    <format dxfId="22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6"/>
          </reference>
          <reference field="5" count="1">
            <x v="1"/>
          </reference>
        </references>
      </pivotArea>
    </format>
    <format dxfId="227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5" count="1">
            <x v="6"/>
          </reference>
        </references>
      </pivotArea>
    </format>
    <format dxfId="226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12"/>
          </reference>
          <reference field="5" count="1">
            <x v="3"/>
          </reference>
        </references>
      </pivotArea>
    </format>
    <format dxfId="225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3"/>
          </reference>
          <reference field="5" count="1">
            <x v="2"/>
          </reference>
        </references>
      </pivotArea>
    </format>
    <format dxfId="224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0"/>
          </reference>
          <reference field="5" count="1">
            <x v="5"/>
          </reference>
        </references>
      </pivotArea>
    </format>
    <format dxfId="22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5"/>
          </reference>
          <reference field="5" count="1">
            <x v="56"/>
          </reference>
        </references>
      </pivotArea>
    </format>
    <format dxfId="222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5" count="1">
            <x v="57"/>
          </reference>
        </references>
      </pivotArea>
    </format>
    <format dxfId="221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7"/>
          </reference>
          <reference field="5" count="1">
            <x v="58"/>
          </reference>
        </references>
      </pivotArea>
    </format>
    <format dxfId="220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0"/>
          </reference>
          <reference field="5" count="1">
            <x v="39"/>
          </reference>
        </references>
      </pivotArea>
    </format>
    <format dxfId="219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"/>
          </reference>
          <reference field="5" count="1">
            <x v="1"/>
          </reference>
        </references>
      </pivotArea>
    </format>
    <format dxfId="218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7"/>
          </reference>
          <reference field="5" count="1">
            <x v="2"/>
          </reference>
        </references>
      </pivotArea>
    </format>
    <format dxfId="217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23"/>
          </reference>
          <reference field="5" count="1">
            <x v="0"/>
          </reference>
        </references>
      </pivotArea>
    </format>
    <format dxfId="21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"/>
          </reference>
          <reference field="5" count="1">
            <x v="28"/>
          </reference>
        </references>
      </pivotArea>
    </format>
    <format dxfId="21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"/>
          </reference>
          <reference field="5" count="1">
            <x v="64"/>
          </reference>
        </references>
      </pivotArea>
    </format>
    <format dxfId="214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5" count="1">
            <x v="65"/>
          </reference>
        </references>
      </pivotArea>
    </format>
    <format dxfId="213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3"/>
          </reference>
          <reference field="5" count="1">
            <x v="25"/>
          </reference>
        </references>
      </pivotArea>
    </format>
    <format dxfId="212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7"/>
          </reference>
          <reference field="5" count="1">
            <x v="66"/>
          </reference>
        </references>
      </pivotArea>
    </format>
    <format dxfId="211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4"/>
          </reference>
          <reference field="5" count="1">
            <x v="35"/>
          </reference>
        </references>
      </pivotArea>
    </format>
    <format dxfId="210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"/>
          </reference>
          <reference field="5" count="1">
            <x v="25"/>
          </reference>
        </references>
      </pivotArea>
    </format>
    <format dxfId="209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7"/>
          </reference>
          <reference field="5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100-00000D000000}" name="TablaDinámica60" cacheId="4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F115:H124" firstHeaderRow="1" firstDataRow="1" firstDataCol="3"/>
  <pivotFields count="9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compact="0" outline="0" showAll="0">
      <items count="173">
        <item m="1" x="23"/>
        <item m="1" x="148"/>
        <item m="1" x="171"/>
        <item h="1" x="0"/>
        <item m="1" x="72"/>
        <item m="1" x="14"/>
        <item x="1"/>
        <item x="2"/>
        <item h="1" m="1" x="12"/>
        <item h="1" m="1" x="168"/>
        <item h="1" m="1" x="27"/>
        <item h="1" m="1" x="85"/>
        <item h="1" m="1" x="129"/>
        <item h="1" m="1" x="106"/>
        <item h="1" m="1" x="118"/>
        <item h="1" m="1" x="161"/>
        <item h="1" x="5"/>
        <item h="1" x="3"/>
        <item h="1" m="1" x="115"/>
        <item h="1" m="1" x="20"/>
        <item h="1" x="6"/>
        <item h="1" m="1" x="136"/>
        <item h="1" m="1" x="24"/>
        <item h="1" m="1" x="131"/>
        <item h="1" m="1" x="47"/>
        <item h="1" m="1" x="31"/>
        <item h="1" m="1" x="38"/>
        <item h="1" m="1" x="62"/>
        <item h="1" m="1" x="107"/>
        <item h="1" m="1" x="74"/>
        <item h="1" m="1" x="101"/>
        <item h="1" m="1" x="142"/>
        <item h="1" m="1" x="132"/>
        <item h="1" m="1" x="19"/>
        <item h="1" m="1" x="162"/>
        <item h="1" m="1" x="52"/>
        <item h="1" m="1" x="49"/>
        <item h="1" m="1" x="157"/>
        <item h="1" m="1" x="40"/>
        <item h="1" m="1" x="163"/>
        <item h="1" m="1" x="102"/>
        <item h="1" m="1" x="114"/>
        <item h="1" m="1" x="13"/>
        <item h="1" m="1" x="39"/>
        <item h="1" m="1" x="45"/>
        <item h="1" m="1" x="147"/>
        <item h="1" m="1" x="63"/>
        <item h="1" m="1" x="34"/>
        <item h="1" m="1" x="44"/>
        <item h="1" m="1" x="151"/>
        <item h="1" m="1" x="150"/>
        <item h="1" m="1" x="154"/>
        <item h="1" m="1" x="143"/>
        <item h="1" m="1" x="69"/>
        <item h="1" m="1" x="65"/>
        <item h="1" m="1" x="153"/>
        <item h="1" m="1" x="17"/>
        <item h="1" m="1" x="79"/>
        <item h="1" m="1" x="141"/>
        <item h="1" m="1" x="66"/>
        <item h="1" m="1" x="68"/>
        <item h="1" m="1" x="94"/>
        <item h="1" m="1" x="112"/>
        <item h="1" x="7"/>
        <item h="1" m="1" x="71"/>
        <item h="1" m="1" x="121"/>
        <item h="1" m="1" x="36"/>
        <item h="1" m="1" x="10"/>
        <item h="1" m="1" x="59"/>
        <item h="1" m="1" x="22"/>
        <item h="1" m="1" x="64"/>
        <item h="1" m="1" x="35"/>
        <item h="1" m="1" x="21"/>
        <item h="1" m="1" x="127"/>
        <item h="1" m="1" x="51"/>
        <item h="1" m="1" x="97"/>
        <item h="1" m="1" x="155"/>
        <item h="1" m="1" x="46"/>
        <item h="1" m="1" x="95"/>
        <item h="1" m="1" x="78"/>
        <item h="1" m="1" x="80"/>
        <item h="1" m="1" x="11"/>
        <item h="1" m="1" x="100"/>
        <item h="1" m="1" x="58"/>
        <item h="1" m="1" x="119"/>
        <item h="1" m="1" x="120"/>
        <item h="1" m="1" x="48"/>
        <item h="1" m="1" x="167"/>
        <item h="1" m="1" x="43"/>
        <item h="1" m="1" x="60"/>
        <item h="1" m="1" x="84"/>
        <item h="1" m="1" x="70"/>
        <item h="1" m="1" x="169"/>
        <item h="1" m="1" x="164"/>
        <item h="1" m="1" x="128"/>
        <item h="1" m="1" x="57"/>
        <item h="1" m="1" x="76"/>
        <item h="1" m="1" x="139"/>
        <item h="1" m="1" x="8"/>
        <item h="1" m="1" x="50"/>
        <item h="1" m="1" x="67"/>
        <item h="1" m="1" x="81"/>
        <item h="1" m="1" x="144"/>
        <item h="1" m="1" x="56"/>
        <item h="1" m="1" x="165"/>
        <item h="1" m="1" x="138"/>
        <item h="1" m="1" x="92"/>
        <item h="1" m="1" x="123"/>
        <item h="1" m="1" x="83"/>
        <item h="1" m="1" x="86"/>
        <item h="1" m="1" x="89"/>
        <item h="1" m="1" x="16"/>
        <item h="1" m="1" x="82"/>
        <item h="1" m="1" x="42"/>
        <item h="1" m="1" x="124"/>
        <item h="1" m="1" x="145"/>
        <item h="1" m="1" x="75"/>
        <item h="1" m="1" x="122"/>
        <item h="1" m="1" x="111"/>
        <item h="1" m="1" x="126"/>
        <item h="1" m="1" x="54"/>
        <item h="1" m="1" x="29"/>
        <item h="1" m="1" x="159"/>
        <item h="1" m="1" x="134"/>
        <item h="1" m="1" x="18"/>
        <item h="1" m="1" x="160"/>
        <item h="1" m="1" x="98"/>
        <item h="1" m="1" x="91"/>
        <item h="1" m="1" x="87"/>
        <item h="1" m="1" x="133"/>
        <item h="1" m="1" x="55"/>
        <item h="1" m="1" x="113"/>
        <item h="1" m="1" x="166"/>
        <item h="1" m="1" x="108"/>
        <item h="1" m="1" x="103"/>
        <item h="1" m="1" x="99"/>
        <item h="1" m="1" x="28"/>
        <item h="1" m="1" x="15"/>
        <item h="1" m="1" x="110"/>
        <item h="1" m="1" x="109"/>
        <item h="1" m="1" x="30"/>
        <item h="1" m="1" x="104"/>
        <item h="1" m="1" x="93"/>
        <item h="1" m="1" x="135"/>
        <item h="1" m="1" x="152"/>
        <item h="1" m="1" x="137"/>
        <item h="1" m="1" x="32"/>
        <item h="1" m="1" x="9"/>
        <item h="1" m="1" x="105"/>
        <item h="1" m="1" x="25"/>
        <item h="1" m="1" x="170"/>
        <item h="1" m="1" x="41"/>
        <item h="1" m="1" x="158"/>
        <item h="1" m="1" x="130"/>
        <item h="1" m="1" x="96"/>
        <item h="1" m="1" x="116"/>
        <item h="1" m="1" x="33"/>
        <item h="1" m="1" x="88"/>
        <item h="1" m="1" x="26"/>
        <item h="1" m="1" x="149"/>
        <item h="1" m="1" x="156"/>
        <item h="1" m="1" x="117"/>
        <item h="1" m="1" x="37"/>
        <item h="1" m="1" x="73"/>
        <item h="1" m="1" x="61"/>
        <item h="1" m="1" x="53"/>
        <item h="1" m="1" x="146"/>
        <item h="1" m="1" x="140"/>
        <item h="1" m="1" x="125"/>
        <item h="1" x="4"/>
        <item h="1" m="1" x="90"/>
        <item h="1" m="1" x="77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187">
        <item m="1" x="178"/>
        <item m="1" x="64"/>
        <item x="2"/>
        <item h="1" x="0"/>
        <item m="1" x="115"/>
        <item m="1" x="16"/>
        <item m="1" x="153"/>
        <item m="1" x="17"/>
        <item m="1" x="149"/>
        <item m="1" x="154"/>
        <item m="1" x="123"/>
        <item m="1" x="13"/>
        <item x="3"/>
        <item m="1" x="29"/>
        <item m="1" x="75"/>
        <item m="1" x="101"/>
        <item m="1" x="129"/>
        <item m="1" x="28"/>
        <item m="1" x="118"/>
        <item m="1" x="10"/>
        <item m="1" x="84"/>
        <item m="1" x="32"/>
        <item m="1" x="86"/>
        <item m="1" x="144"/>
        <item m="1" x="65"/>
        <item m="1" x="114"/>
        <item m="1" x="34"/>
        <item m="1" x="161"/>
        <item m="1" x="151"/>
        <item m="1" x="105"/>
        <item m="1" x="81"/>
        <item m="1" x="121"/>
        <item m="1" x="36"/>
        <item m="1" x="133"/>
        <item x="5"/>
        <item m="1" x="158"/>
        <item m="1" x="122"/>
        <item m="1" x="11"/>
        <item m="1" x="57"/>
        <item m="1" x="170"/>
        <item m="1" x="79"/>
        <item m="1" x="76"/>
        <item m="1" x="142"/>
        <item m="1" x="179"/>
        <item m="1" x="160"/>
        <item m="1" x="174"/>
        <item m="1" x="23"/>
        <item m="1" x="139"/>
        <item m="1" x="46"/>
        <item m="1" x="53"/>
        <item m="1" x="117"/>
        <item m="1" x="73"/>
        <item x="6"/>
        <item m="1" x="168"/>
        <item m="1" x="24"/>
        <item m="1" x="62"/>
        <item m="1" x="21"/>
        <item m="1" x="14"/>
        <item m="1" x="27"/>
        <item m="1" x="143"/>
        <item m="1" x="175"/>
        <item m="1" x="131"/>
        <item m="1" x="96"/>
        <item m="1" x="69"/>
        <item m="1" x="116"/>
        <item m="1" x="45"/>
        <item m="1" x="145"/>
        <item m="1" x="87"/>
        <item m="1" x="130"/>
        <item x="7"/>
        <item m="1" x="20"/>
        <item m="1" x="49"/>
        <item m="1" x="38"/>
        <item m="1" x="164"/>
        <item m="1" x="60"/>
        <item m="1" x="83"/>
        <item x="8"/>
        <item m="1" x="110"/>
        <item m="1" x="22"/>
        <item m="1" x="72"/>
        <item m="1" x="78"/>
        <item m="1" x="68"/>
        <item m="1" x="109"/>
        <item m="1" x="61"/>
        <item m="1" x="167"/>
        <item m="1" x="107"/>
        <item m="1" x="169"/>
        <item m="1" x="47"/>
        <item m="1" x="180"/>
        <item m="1" x="148"/>
        <item m="1" x="132"/>
        <item m="1" x="108"/>
        <item m="1" x="141"/>
        <item m="1" x="80"/>
        <item m="1" x="25"/>
        <item m="1" x="183"/>
        <item m="1" x="35"/>
        <item m="1" x="95"/>
        <item m="1" x="104"/>
        <item m="1" x="85"/>
        <item m="1" x="70"/>
        <item m="1" x="176"/>
        <item m="1" x="162"/>
        <item m="1" x="185"/>
        <item m="1" x="48"/>
        <item m="1" x="136"/>
        <item m="1" x="26"/>
        <item m="1" x="37"/>
        <item m="1" x="124"/>
        <item m="1" x="150"/>
        <item m="1" x="182"/>
        <item m="1" x="55"/>
        <item m="1" x="44"/>
        <item m="1" x="74"/>
        <item m="1" x="66"/>
        <item m="1" x="166"/>
        <item m="1" x="9"/>
        <item m="1" x="155"/>
        <item m="1" x="51"/>
        <item m="1" x="50"/>
        <item m="1" x="52"/>
        <item m="1" x="147"/>
        <item m="1" x="88"/>
        <item m="1" x="100"/>
        <item m="1" x="159"/>
        <item m="1" x="140"/>
        <item m="1" x="173"/>
        <item m="1" x="156"/>
        <item m="1" x="135"/>
        <item m="1" x="112"/>
        <item m="1" x="92"/>
        <item m="1" x="56"/>
        <item m="1" x="30"/>
        <item m="1" x="106"/>
        <item m="1" x="89"/>
        <item m="1" x="134"/>
        <item m="1" x="120"/>
        <item m="1" x="146"/>
        <item m="1" x="71"/>
        <item m="1" x="171"/>
        <item m="1" x="137"/>
        <item m="1" x="77"/>
        <item m="1" x="97"/>
        <item m="1" x="125"/>
        <item m="1" x="127"/>
        <item m="1" x="91"/>
        <item m="1" x="157"/>
        <item m="1" x="63"/>
        <item m="1" x="152"/>
        <item m="1" x="40"/>
        <item m="1" x="33"/>
        <item m="1" x="94"/>
        <item m="1" x="111"/>
        <item m="1" x="102"/>
        <item m="1" x="43"/>
        <item m="1" x="42"/>
        <item m="1" x="12"/>
        <item m="1" x="31"/>
        <item m="1" x="165"/>
        <item m="1" x="99"/>
        <item m="1" x="18"/>
        <item m="1" x="41"/>
        <item m="1" x="82"/>
        <item m="1" x="128"/>
        <item m="1" x="67"/>
        <item m="1" x="39"/>
        <item m="1" x="172"/>
        <item m="1" x="58"/>
        <item m="1" x="119"/>
        <item m="1" x="15"/>
        <item m="1" x="177"/>
        <item m="1" x="113"/>
        <item m="1" x="103"/>
        <item m="1" x="98"/>
        <item m="1" x="59"/>
        <item m="1" x="163"/>
        <item m="1" x="90"/>
        <item m="1" x="54"/>
        <item m="1" x="19"/>
        <item m="1" x="126"/>
        <item m="1" x="184"/>
        <item m="1" x="181"/>
        <item m="1" x="138"/>
        <item x="1"/>
        <item m="1" x="93"/>
        <item x="4"/>
        <item t="default"/>
      </items>
    </pivotField>
    <pivotField compact="0" outline="0" showAll="0"/>
    <pivotField compact="0" outline="0" showAll="0"/>
  </pivotFields>
  <rowFields count="3">
    <field x="0"/>
    <field x="1"/>
    <field x="6"/>
  </rowFields>
  <rowItems count="9">
    <i>
      <x v="1"/>
      <x v="9"/>
      <x v="183"/>
    </i>
    <i>
      <x v="6"/>
      <x v="14"/>
      <x v="2"/>
    </i>
    <i>
      <x v="11"/>
      <x/>
      <x v="12"/>
    </i>
    <i>
      <x v="15"/>
      <x v="19"/>
      <x v="185"/>
    </i>
    <i>
      <x v="16"/>
      <x v="20"/>
      <x v="34"/>
    </i>
    <i>
      <x v="17"/>
      <x v="5"/>
      <x v="52"/>
    </i>
    <i>
      <x v="19"/>
      <x v="7"/>
      <x v="69"/>
    </i>
    <i>
      <x v="22"/>
      <x v="21"/>
      <x v="76"/>
    </i>
    <i t="grand">
      <x/>
    </i>
  </rowItems>
  <colItems count="1">
    <i/>
  </colItems>
  <formats count="14">
    <format dxfId="257">
      <pivotArea field="1" type="button" dataOnly="0" labelOnly="1" outline="0" axis="axisRow" fieldPosition="1"/>
    </format>
    <format dxfId="256">
      <pivotArea field="2" type="button" dataOnly="0" labelOnly="1" outline="0"/>
    </format>
    <format dxfId="255">
      <pivotArea field="1" type="button" dataOnly="0" labelOnly="1" outline="0" axis="axisRow" fieldPosition="1"/>
    </format>
    <format dxfId="254">
      <pivotArea field="2" type="button" dataOnly="0" labelOnly="1" outline="0"/>
    </format>
    <format dxfId="253">
      <pivotArea field="1" type="button" dataOnly="0" labelOnly="1" outline="0" axis="axisRow" fieldPosition="1"/>
    </format>
    <format dxfId="252">
      <pivotArea field="2" type="button" dataOnly="0" labelOnly="1" outline="0"/>
    </format>
    <format dxfId="251">
      <pivotArea type="all" dataOnly="0" outline="0" fieldPosition="0"/>
    </format>
    <format dxfId="250">
      <pivotArea field="1" type="button" dataOnly="0" labelOnly="1" outline="0" axis="axisRow" fieldPosition="1"/>
    </format>
    <format dxfId="249">
      <pivotArea field="2" type="button" dataOnly="0" labelOnly="1" outline="0"/>
    </format>
    <format dxfId="248">
      <pivotArea dataOnly="0" labelOnly="1" outline="0" fieldPosition="0">
        <references count="1">
          <reference field="1" count="0"/>
        </references>
      </pivotArea>
    </format>
    <format dxfId="247">
      <pivotArea dataOnly="0" labelOnly="1" grandRow="1" outline="0" fieldPosition="0"/>
    </format>
    <format dxfId="246">
      <pivotArea field="0" type="button" dataOnly="0" labelOnly="1" outline="0" axis="axisRow" fieldPosition="0"/>
    </format>
    <format dxfId="245">
      <pivotArea dataOnly="0" labelOnly="1" outline="0" fieldPosition="0">
        <references count="1">
          <reference field="0" count="9">
            <x v="2"/>
            <x v="4"/>
            <x v="5"/>
            <x v="8"/>
            <x v="13"/>
            <x v="15"/>
            <x v="16"/>
            <x v="18"/>
            <x v="23"/>
          </reference>
        </references>
      </pivotArea>
    </format>
    <format dxfId="24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100-000002000000}" name="TablaDinámica49" cacheId="5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J3:L14" firstHeaderRow="1" firstDataRow="1" firstDataCol="3"/>
  <pivotFields count="9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axis="axisRow" compact="0" outline="0" showAll="0">
      <items count="169">
        <item m="1" x="147"/>
        <item m="1" x="98"/>
        <item h="1" x="0"/>
        <item m="1" x="90"/>
        <item m="1" x="94"/>
        <item m="1" x="78"/>
        <item m="1" x="129"/>
        <item m="1" x="45"/>
        <item m="1" x="43"/>
        <item m="1" x="86"/>
        <item m="1" x="71"/>
        <item m="1" x="151"/>
        <item m="1" x="33"/>
        <item m="1" x="157"/>
        <item x="8"/>
        <item x="4"/>
        <item m="1" x="100"/>
        <item m="1" x="55"/>
        <item m="1" x="53"/>
        <item m="1" x="11"/>
        <item m="1" x="59"/>
        <item m="1" x="58"/>
        <item m="1" x="32"/>
        <item m="1" x="114"/>
        <item m="1" x="57"/>
        <item m="1" x="164"/>
        <item m="1" x="127"/>
        <item m="1" x="17"/>
        <item m="1" x="65"/>
        <item m="1" x="123"/>
        <item m="1" x="158"/>
        <item m="1" x="31"/>
        <item m="1" x="161"/>
        <item m="1" x="93"/>
        <item m="1" x="23"/>
        <item m="1" x="49"/>
        <item m="1" x="96"/>
        <item m="1" x="80"/>
        <item m="1" x="128"/>
        <item m="1" x="124"/>
        <item m="1" x="137"/>
        <item m="1" x="118"/>
        <item m="1" x="102"/>
        <item m="1" x="115"/>
        <item m="1" x="85"/>
        <item m="1" x="74"/>
        <item m="1" x="156"/>
        <item m="1" x="104"/>
        <item m="1" x="167"/>
        <item m="1" x="87"/>
        <item m="1" x="110"/>
        <item m="1" x="36"/>
        <item m="1" x="131"/>
        <item m="1" x="9"/>
        <item m="1" x="145"/>
        <item m="1" x="146"/>
        <item m="1" x="149"/>
        <item m="1" x="38"/>
        <item m="1" x="16"/>
        <item m="1" x="21"/>
        <item m="1" x="139"/>
        <item m="1" x="39"/>
        <item m="1" x="63"/>
        <item m="1" x="67"/>
        <item m="1" x="24"/>
        <item m="1" x="106"/>
        <item m="1" x="119"/>
        <item m="1" x="66"/>
        <item m="1" x="19"/>
        <item m="1" x="28"/>
        <item m="1" x="121"/>
        <item m="1" x="56"/>
        <item m="1" x="89"/>
        <item m="1" x="108"/>
        <item m="1" x="154"/>
        <item m="1" x="29"/>
        <item m="1" x="153"/>
        <item m="1" x="130"/>
        <item m="1" x="51"/>
        <item m="1" x="143"/>
        <item m="1" x="52"/>
        <item m="1" x="40"/>
        <item m="1" x="160"/>
        <item m="1" x="68"/>
        <item m="1" x="82"/>
        <item m="1" x="79"/>
        <item m="1" x="150"/>
        <item m="1" x="117"/>
        <item m="1" x="163"/>
        <item m="1" x="18"/>
        <item m="1" x="107"/>
        <item x="6"/>
        <item m="1" x="15"/>
        <item m="1" x="88"/>
        <item m="1" x="165"/>
        <item m="1" x="54"/>
        <item m="1" x="35"/>
        <item m="1" x="144"/>
        <item m="1" x="10"/>
        <item m="1" x="62"/>
        <item m="1" x="25"/>
        <item m="1" x="91"/>
        <item m="1" x="112"/>
        <item m="1" x="61"/>
        <item m="1" x="14"/>
        <item m="1" x="132"/>
        <item m="1" x="136"/>
        <item m="1" x="64"/>
        <item m="1" x="77"/>
        <item m="1" x="135"/>
        <item m="1" x="27"/>
        <item m="1" x="134"/>
        <item m="1" x="109"/>
        <item m="1" x="141"/>
        <item m="1" x="73"/>
        <item m="1" x="26"/>
        <item m="1" x="69"/>
        <item m="1" x="20"/>
        <item m="1" x="75"/>
        <item x="7"/>
        <item m="1" x="95"/>
        <item m="1" x="50"/>
        <item m="1" x="122"/>
        <item m="1" x="83"/>
        <item m="1" x="138"/>
        <item m="1" x="47"/>
        <item m="1" x="142"/>
        <item m="1" x="166"/>
        <item m="1" x="162"/>
        <item m="1" x="103"/>
        <item m="1" x="97"/>
        <item m="1" x="101"/>
        <item m="1" x="76"/>
        <item m="1" x="126"/>
        <item m="1" x="12"/>
        <item m="1" x="159"/>
        <item m="1" x="60"/>
        <item m="1" x="70"/>
        <item m="1" x="72"/>
        <item m="1" x="111"/>
        <item m="1" x="148"/>
        <item m="1" x="48"/>
        <item m="1" x="120"/>
        <item m="1" x="152"/>
        <item m="1" x="140"/>
        <item m="1" x="30"/>
        <item m="1" x="37"/>
        <item m="1" x="81"/>
        <item m="1" x="13"/>
        <item m="1" x="46"/>
        <item m="1" x="41"/>
        <item m="1" x="116"/>
        <item m="1" x="84"/>
        <item m="1" x="92"/>
        <item m="1" x="113"/>
        <item m="1" x="155"/>
        <item m="1" x="34"/>
        <item m="1" x="44"/>
        <item m="1" x="99"/>
        <item m="1" x="125"/>
        <item m="1" x="133"/>
        <item m="1" x="42"/>
        <item m="1" x="105"/>
        <item m="1" x="22"/>
        <item x="1"/>
        <item x="2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0"/>
    <field x="1"/>
    <field x="2"/>
  </rowFields>
  <rowItems count="11">
    <i>
      <x v="6"/>
      <x v="14"/>
      <x v="164"/>
    </i>
    <i>
      <x v="7"/>
      <x v="12"/>
      <x v="165"/>
    </i>
    <i>
      <x v="9"/>
      <x v="26"/>
      <x v="166"/>
    </i>
    <i>
      <x v="15"/>
      <x v="19"/>
      <x v="15"/>
    </i>
    <i>
      <x v="16"/>
      <x v="20"/>
      <x v="167"/>
    </i>
    <i>
      <x v="17"/>
      <x v="5"/>
      <x v="91"/>
    </i>
    <i>
      <x v="18"/>
      <x v="6"/>
      <x v="119"/>
    </i>
    <i>
      <x v="19"/>
      <x v="7"/>
      <x v="14"/>
    </i>
    <i>
      <x v="20"/>
      <x v="8"/>
      <x v="14"/>
    </i>
    <i>
      <x v="23"/>
      <x v="22"/>
      <x v="14"/>
    </i>
    <i t="grand">
      <x/>
    </i>
  </rowItems>
  <colItems count="1">
    <i/>
  </colItems>
  <formats count="49">
    <format dxfId="306">
      <pivotArea field="1" type="button" dataOnly="0" labelOnly="1" outline="0" axis="axisRow" fieldPosition="1"/>
    </format>
    <format dxfId="305">
      <pivotArea field="2" type="button" dataOnly="0" labelOnly="1" outline="0" axis="axisRow" fieldPosition="2"/>
    </format>
    <format dxfId="304">
      <pivotArea field="1" type="button" dataOnly="0" labelOnly="1" outline="0" axis="axisRow" fieldPosition="1"/>
    </format>
    <format dxfId="303">
      <pivotArea field="2" type="button" dataOnly="0" labelOnly="1" outline="0" axis="axisRow" fieldPosition="2"/>
    </format>
    <format dxfId="302">
      <pivotArea field="1" type="button" dataOnly="0" labelOnly="1" outline="0" axis="axisRow" fieldPosition="1"/>
    </format>
    <format dxfId="301">
      <pivotArea field="2" type="button" dataOnly="0" labelOnly="1" outline="0" axis="axisRow" fieldPosition="2"/>
    </format>
    <format dxfId="300">
      <pivotArea type="all" dataOnly="0" outline="0" fieldPosition="0"/>
    </format>
    <format dxfId="299">
      <pivotArea field="1" type="button" dataOnly="0" labelOnly="1" outline="0" axis="axisRow" fieldPosition="1"/>
    </format>
    <format dxfId="298">
      <pivotArea field="2" type="button" dataOnly="0" labelOnly="1" outline="0" axis="axisRow" fieldPosition="2"/>
    </format>
    <format dxfId="297">
      <pivotArea dataOnly="0" labelOnly="1" outline="0" fieldPosition="0">
        <references count="1">
          <reference field="1" count="0"/>
        </references>
      </pivotArea>
    </format>
    <format dxfId="296">
      <pivotArea dataOnly="0" labelOnly="1" grandRow="1" outline="0" fieldPosition="0"/>
    </format>
    <format dxfId="295">
      <pivotArea dataOnly="0" labelOnly="1" outline="0" fieldPosition="0">
        <references count="2">
          <reference field="1" count="1" selected="0">
            <x v="0"/>
          </reference>
          <reference field="2" count="1">
            <x v="2"/>
          </reference>
        </references>
      </pivotArea>
    </format>
    <format dxfId="294">
      <pivotArea dataOnly="0" labelOnly="1" outline="0" fieldPosition="0">
        <references count="2">
          <reference field="1" count="1" selected="0">
            <x v="1"/>
          </reference>
          <reference field="2" count="1">
            <x v="2"/>
          </reference>
        </references>
      </pivotArea>
    </format>
    <format dxfId="293">
      <pivotArea dataOnly="0" labelOnly="1" outline="0" fieldPosition="0">
        <references count="2">
          <reference field="1" count="1" selected="0">
            <x v="2"/>
          </reference>
          <reference field="2" count="1">
            <x v="2"/>
          </reference>
        </references>
      </pivotArea>
    </format>
    <format dxfId="292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291">
      <pivotArea dataOnly="0" labelOnly="1" outline="0" fieldPosition="0">
        <references count="2">
          <reference field="1" count="1" selected="0">
            <x v="5"/>
          </reference>
          <reference field="2" count="1">
            <x v="1"/>
          </reference>
        </references>
      </pivotArea>
    </format>
    <format dxfId="290">
      <pivotArea dataOnly="0" labelOnly="1" outline="0" fieldPosition="0">
        <references count="2">
          <reference field="1" count="1" selected="0">
            <x v="6"/>
          </reference>
          <reference field="2" count="1">
            <x v="2"/>
          </reference>
        </references>
      </pivotArea>
    </format>
    <format dxfId="289">
      <pivotArea dataOnly="0" labelOnly="1" outline="0" fieldPosition="0">
        <references count="2">
          <reference field="1" count="1" selected="0">
            <x v="8"/>
          </reference>
          <reference field="2" count="1">
            <x v="2"/>
          </reference>
        </references>
      </pivotArea>
    </format>
    <format dxfId="288">
      <pivotArea dataOnly="0" labelOnly="1" outline="0" fieldPosition="0">
        <references count="2">
          <reference field="1" count="1" selected="0">
            <x v="9"/>
          </reference>
          <reference field="2" count="1">
            <x v="2"/>
          </reference>
        </references>
      </pivotArea>
    </format>
    <format dxfId="287">
      <pivotArea dataOnly="0" labelOnly="1" outline="0" fieldPosition="0">
        <references count="2">
          <reference field="1" count="1" selected="0">
            <x v="11"/>
          </reference>
          <reference field="2" count="1">
            <x v="2"/>
          </reference>
        </references>
      </pivotArea>
    </format>
    <format dxfId="286">
      <pivotArea dataOnly="0" labelOnly="1" outline="0" fieldPosition="0">
        <references count="2">
          <reference field="1" count="1" selected="0">
            <x v="12"/>
          </reference>
          <reference field="2" count="1">
            <x v="2"/>
          </reference>
        </references>
      </pivotArea>
    </format>
    <format dxfId="285">
      <pivotArea dataOnly="0" labelOnly="1" outline="0" fieldPosition="0">
        <references count="2">
          <reference field="1" count="1" selected="0">
            <x v="13"/>
          </reference>
          <reference field="2" count="1">
            <x v="2"/>
          </reference>
        </references>
      </pivotArea>
    </format>
    <format dxfId="284">
      <pivotArea dataOnly="0" labelOnly="1" outline="0" fieldPosition="0">
        <references count="2">
          <reference field="1" count="1" selected="0">
            <x v="16"/>
          </reference>
          <reference field="2" count="1">
            <x v="2"/>
          </reference>
        </references>
      </pivotArea>
    </format>
    <format dxfId="283">
      <pivotArea dataOnly="0" labelOnly="1" outline="0" fieldPosition="0">
        <references count="2">
          <reference field="1" count="1" selected="0">
            <x v="18"/>
          </reference>
          <reference field="2" count="1">
            <x v="2"/>
          </reference>
        </references>
      </pivotArea>
    </format>
    <format dxfId="282">
      <pivotArea dataOnly="0" labelOnly="1" outline="0" fieldPosition="0">
        <references count="2">
          <reference field="1" count="1" selected="0">
            <x v="19"/>
          </reference>
          <reference field="2" count="1">
            <x v="2"/>
          </reference>
        </references>
      </pivotArea>
    </format>
    <format dxfId="281">
      <pivotArea dataOnly="0" labelOnly="1" outline="0" fieldPosition="0">
        <references count="2">
          <reference field="1" count="1" selected="0">
            <x v="20"/>
          </reference>
          <reference field="2" count="1">
            <x v="0"/>
          </reference>
        </references>
      </pivotArea>
    </format>
    <format dxfId="280">
      <pivotArea dataOnly="0" labelOnly="1" outline="0" fieldPosition="0">
        <references count="2">
          <reference field="1" count="1" selected="0">
            <x v="21"/>
          </reference>
          <reference field="2" count="1">
            <x v="2"/>
          </reference>
        </references>
      </pivotArea>
    </format>
    <format dxfId="279">
      <pivotArea dataOnly="0" labelOnly="1" outline="0" fieldPosition="0">
        <references count="2">
          <reference field="1" count="1" selected="0">
            <x v="22"/>
          </reference>
          <reference field="2" count="1">
            <x v="2"/>
          </reference>
        </references>
      </pivotArea>
    </format>
    <format dxfId="278">
      <pivotArea dataOnly="0" labelOnly="1" outline="0" fieldPosition="0">
        <references count="2">
          <reference field="1" count="1" selected="0">
            <x v="23"/>
          </reference>
          <reference field="2" count="1">
            <x v="0"/>
          </reference>
        </references>
      </pivotArea>
    </format>
    <format dxfId="277">
      <pivotArea field="0" type="button" dataOnly="0" labelOnly="1" outline="0" axis="axisRow" fieldPosition="0"/>
    </format>
    <format dxfId="276">
      <pivotArea dataOnly="0" labelOnly="1" outline="0" fieldPosition="0">
        <references count="1">
          <reference field="0" count="9">
            <x v="2"/>
            <x v="4"/>
            <x v="5"/>
            <x v="8"/>
            <x v="13"/>
            <x v="15"/>
            <x v="16"/>
            <x v="18"/>
            <x v="23"/>
          </reference>
        </references>
      </pivotArea>
    </format>
    <format dxfId="275">
      <pivotArea field="2" type="button" dataOnly="0" labelOnly="1" outline="0" axis="axisRow" fieldPosition="2"/>
    </format>
    <format dxfId="274">
      <pivotArea dataOnly="0" labelOnly="1" grandRow="1" outline="0" fieldPosition="0"/>
    </format>
    <format dxfId="27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"/>
          </reference>
          <reference field="2" count="1">
            <x v="3"/>
          </reference>
        </references>
      </pivotArea>
    </format>
    <format dxfId="272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19"/>
          </reference>
          <reference field="2" count="1">
            <x v="5"/>
          </reference>
        </references>
      </pivotArea>
    </format>
    <format dxfId="271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0"/>
          </reference>
          <reference field="2" count="1">
            <x v="0"/>
          </reference>
        </references>
      </pivotArea>
    </format>
    <format dxfId="270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7"/>
          </reference>
          <reference field="2" count="1">
            <x v="1"/>
          </reference>
        </references>
      </pivotArea>
    </format>
    <format dxfId="269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5"/>
          </reference>
          <reference field="2" count="1">
            <x v="37"/>
          </reference>
        </references>
      </pivotArea>
    </format>
    <format dxfId="268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2" count="1">
            <x v="4"/>
          </reference>
        </references>
      </pivotArea>
    </format>
    <format dxfId="267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12"/>
          </reference>
          <reference field="2" count="1">
            <x v="41"/>
          </reference>
        </references>
      </pivotArea>
    </format>
    <format dxfId="266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0"/>
          </reference>
          <reference field="2" count="1">
            <x v="42"/>
          </reference>
        </references>
      </pivotArea>
    </format>
    <format dxfId="265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0"/>
          </reference>
          <reference field="2" count="1">
            <x v="43"/>
          </reference>
        </references>
      </pivotArea>
    </format>
    <format dxfId="264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"/>
          </reference>
          <reference field="2" count="1">
            <x v="44"/>
          </reference>
        </references>
      </pivotArea>
    </format>
    <format dxfId="263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7"/>
          </reference>
          <reference field="2" count="1">
            <x v="0"/>
          </reference>
        </references>
      </pivotArea>
    </format>
    <format dxfId="262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21"/>
          </reference>
          <reference field="2" count="1">
            <x v="45"/>
          </reference>
        </references>
      </pivotArea>
    </format>
    <format dxfId="261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22"/>
          </reference>
          <reference field="2" count="1">
            <x v="46"/>
          </reference>
        </references>
      </pivotArea>
    </format>
    <format dxfId="260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23"/>
          </reference>
          <reference field="2" count="1">
            <x v="4"/>
          </reference>
        </references>
      </pivotArea>
    </format>
    <format dxfId="259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"/>
          </reference>
          <reference field="2" count="1">
            <x v="6"/>
          </reference>
        </references>
      </pivotArea>
    </format>
    <format dxfId="258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7"/>
          </reference>
          <reference field="2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100-000010000000}" name="TablaDinámica63" cacheId="4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F143:H151" firstHeaderRow="1" firstDataRow="1" firstDataCol="3"/>
  <pivotFields count="9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compact="0" outline="0" showAll="0">
      <items count="173">
        <item m="1" x="23"/>
        <item m="1" x="148"/>
        <item m="1" x="171"/>
        <item h="1" x="0"/>
        <item m="1" x="72"/>
        <item m="1" x="14"/>
        <item x="1"/>
        <item x="2"/>
        <item h="1" m="1" x="12"/>
        <item h="1" m="1" x="168"/>
        <item h="1" m="1" x="27"/>
        <item h="1" m="1" x="85"/>
        <item h="1" m="1" x="129"/>
        <item h="1" m="1" x="106"/>
        <item h="1" m="1" x="118"/>
        <item h="1" m="1" x="161"/>
        <item h="1" x="5"/>
        <item h="1" x="3"/>
        <item h="1" m="1" x="115"/>
        <item h="1" m="1" x="20"/>
        <item h="1" x="6"/>
        <item h="1" m="1" x="136"/>
        <item h="1" m="1" x="24"/>
        <item h="1" m="1" x="131"/>
        <item h="1" m="1" x="47"/>
        <item h="1" m="1" x="31"/>
        <item h="1" m="1" x="38"/>
        <item h="1" m="1" x="62"/>
        <item h="1" m="1" x="107"/>
        <item h="1" m="1" x="74"/>
        <item h="1" m="1" x="101"/>
        <item h="1" m="1" x="142"/>
        <item h="1" m="1" x="132"/>
        <item h="1" m="1" x="19"/>
        <item h="1" m="1" x="162"/>
        <item h="1" m="1" x="52"/>
        <item h="1" m="1" x="49"/>
        <item h="1" m="1" x="157"/>
        <item h="1" m="1" x="40"/>
        <item h="1" m="1" x="163"/>
        <item h="1" m="1" x="102"/>
        <item h="1" m="1" x="114"/>
        <item h="1" m="1" x="13"/>
        <item h="1" m="1" x="39"/>
        <item h="1" m="1" x="45"/>
        <item h="1" m="1" x="147"/>
        <item h="1" m="1" x="63"/>
        <item h="1" m="1" x="34"/>
        <item h="1" m="1" x="44"/>
        <item h="1" m="1" x="151"/>
        <item h="1" m="1" x="150"/>
        <item h="1" m="1" x="154"/>
        <item h="1" m="1" x="143"/>
        <item h="1" m="1" x="69"/>
        <item h="1" m="1" x="65"/>
        <item h="1" m="1" x="153"/>
        <item h="1" m="1" x="17"/>
        <item h="1" m="1" x="79"/>
        <item h="1" m="1" x="141"/>
        <item h="1" m="1" x="66"/>
        <item h="1" m="1" x="68"/>
        <item h="1" m="1" x="94"/>
        <item h="1" m="1" x="112"/>
        <item h="1" x="7"/>
        <item h="1" m="1" x="71"/>
        <item h="1" m="1" x="121"/>
        <item h="1" m="1" x="36"/>
        <item h="1" m="1" x="10"/>
        <item h="1" m="1" x="59"/>
        <item h="1" m="1" x="22"/>
        <item h="1" m="1" x="64"/>
        <item h="1" m="1" x="35"/>
        <item h="1" m="1" x="21"/>
        <item h="1" m="1" x="127"/>
        <item h="1" m="1" x="51"/>
        <item h="1" m="1" x="97"/>
        <item h="1" m="1" x="155"/>
        <item h="1" m="1" x="46"/>
        <item h="1" m="1" x="95"/>
        <item h="1" m="1" x="78"/>
        <item h="1" m="1" x="80"/>
        <item h="1" m="1" x="11"/>
        <item h="1" m="1" x="100"/>
        <item h="1" m="1" x="58"/>
        <item h="1" m="1" x="119"/>
        <item h="1" m="1" x="120"/>
        <item h="1" m="1" x="48"/>
        <item h="1" m="1" x="167"/>
        <item h="1" m="1" x="43"/>
        <item h="1" m="1" x="60"/>
        <item h="1" m="1" x="84"/>
        <item h="1" m="1" x="70"/>
        <item h="1" m="1" x="169"/>
        <item h="1" m="1" x="164"/>
        <item h="1" m="1" x="128"/>
        <item h="1" m="1" x="57"/>
        <item h="1" m="1" x="76"/>
        <item h="1" m="1" x="139"/>
        <item h="1" m="1" x="8"/>
        <item h="1" m="1" x="50"/>
        <item h="1" m="1" x="67"/>
        <item h="1" m="1" x="81"/>
        <item h="1" m="1" x="144"/>
        <item h="1" m="1" x="56"/>
        <item h="1" m="1" x="165"/>
        <item h="1" m="1" x="138"/>
        <item h="1" m="1" x="92"/>
        <item h="1" m="1" x="123"/>
        <item h="1" m="1" x="83"/>
        <item h="1" m="1" x="86"/>
        <item h="1" m="1" x="89"/>
        <item h="1" m="1" x="16"/>
        <item h="1" m="1" x="82"/>
        <item h="1" m="1" x="42"/>
        <item h="1" m="1" x="124"/>
        <item h="1" m="1" x="145"/>
        <item h="1" m="1" x="75"/>
        <item h="1" m="1" x="122"/>
        <item h="1" m="1" x="111"/>
        <item h="1" m="1" x="126"/>
        <item h="1" m="1" x="54"/>
        <item h="1" m="1" x="29"/>
        <item h="1" m="1" x="159"/>
        <item h="1" m="1" x="134"/>
        <item h="1" m="1" x="18"/>
        <item h="1" m="1" x="160"/>
        <item h="1" m="1" x="98"/>
        <item h="1" m="1" x="91"/>
        <item h="1" m="1" x="87"/>
        <item h="1" m="1" x="133"/>
        <item h="1" m="1" x="55"/>
        <item h="1" m="1" x="113"/>
        <item h="1" m="1" x="166"/>
        <item h="1" m="1" x="108"/>
        <item h="1" m="1" x="103"/>
        <item h="1" m="1" x="99"/>
        <item h="1" m="1" x="28"/>
        <item h="1" m="1" x="15"/>
        <item h="1" m="1" x="110"/>
        <item h="1" m="1" x="109"/>
        <item h="1" m="1" x="30"/>
        <item h="1" m="1" x="104"/>
        <item h="1" m="1" x="93"/>
        <item h="1" m="1" x="135"/>
        <item h="1" m="1" x="152"/>
        <item h="1" m="1" x="137"/>
        <item h="1" m="1" x="32"/>
        <item h="1" m="1" x="9"/>
        <item h="1" m="1" x="105"/>
        <item h="1" m="1" x="25"/>
        <item h="1" m="1" x="170"/>
        <item h="1" m="1" x="41"/>
        <item h="1" m="1" x="158"/>
        <item h="1" m="1" x="130"/>
        <item h="1" m="1" x="96"/>
        <item h="1" m="1" x="116"/>
        <item h="1" m="1" x="33"/>
        <item h="1" m="1" x="88"/>
        <item h="1" m="1" x="26"/>
        <item h="1" m="1" x="149"/>
        <item h="1" m="1" x="156"/>
        <item h="1" m="1" x="117"/>
        <item h="1" m="1" x="37"/>
        <item h="1" m="1" x="73"/>
        <item h="1" m="1" x="61"/>
        <item h="1" m="1" x="53"/>
        <item h="1" m="1" x="146"/>
        <item h="1" m="1" x="140"/>
        <item h="1" m="1" x="125"/>
        <item h="1" x="4"/>
        <item h="1" m="1" x="90"/>
        <item h="1" m="1" x="7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78">
        <item h="1" m="1" x="8"/>
        <item h="1" x="0"/>
        <item m="1" x="147"/>
        <item m="1" x="62"/>
        <item m="1" x="171"/>
        <item m="1" x="69"/>
        <item m="1" x="48"/>
        <item m="1" x="138"/>
        <item m="1" x="115"/>
        <item m="1" x="142"/>
        <item m="1" x="173"/>
        <item m="1" x="76"/>
        <item m="1" x="141"/>
        <item m="1" x="116"/>
        <item x="6"/>
        <item m="1" x="83"/>
        <item m="1" x="112"/>
        <item m="1" x="99"/>
        <item x="7"/>
        <item m="1" x="129"/>
        <item m="1" x="60"/>
        <item m="1" x="155"/>
        <item m="1" x="32"/>
        <item m="1" x="28"/>
        <item m="1" x="169"/>
        <item m="1" x="143"/>
        <item x="3"/>
        <item m="1" x="36"/>
        <item m="1" x="119"/>
        <item m="1" x="97"/>
        <item m="1" x="162"/>
        <item m="1" x="26"/>
        <item m="1" x="59"/>
        <item m="1" x="164"/>
        <item m="1" x="24"/>
        <item m="1" x="61"/>
        <item m="1" x="82"/>
        <item m="1" x="27"/>
        <item m="1" x="137"/>
        <item m="1" x="63"/>
        <item m="1" x="167"/>
        <item m="1" x="126"/>
        <item m="1" x="92"/>
        <item m="1" x="78"/>
        <item m="1" x="16"/>
        <item x="4"/>
        <item m="1" x="44"/>
        <item m="1" x="172"/>
        <item m="1" x="51"/>
        <item m="1" x="34"/>
        <item m="1" x="157"/>
        <item m="1" x="55"/>
        <item x="5"/>
        <item m="1" x="85"/>
        <item m="1" x="81"/>
        <item m="1" x="57"/>
        <item m="1" x="25"/>
        <item m="1" x="68"/>
        <item m="1" x="75"/>
        <item m="1" x="66"/>
        <item m="1" x="70"/>
        <item m="1" x="125"/>
        <item m="1" x="132"/>
        <item m="1" x="49"/>
        <item m="1" x="22"/>
        <item m="1" x="33"/>
        <item m="1" x="23"/>
        <item m="1" x="107"/>
        <item m="1" x="58"/>
        <item m="1" x="103"/>
        <item m="1" x="29"/>
        <item m="1" x="14"/>
        <item m="1" x="127"/>
        <item m="1" x="153"/>
        <item m="1" x="102"/>
        <item m="1" x="152"/>
        <item m="1" x="77"/>
        <item m="1" x="79"/>
        <item m="1" x="11"/>
        <item m="1" x="133"/>
        <item m="1" x="46"/>
        <item m="1" x="154"/>
        <item m="1" x="72"/>
        <item m="1" x="87"/>
        <item m="1" x="156"/>
        <item m="1" x="128"/>
        <item m="1" x="74"/>
        <item m="1" x="131"/>
        <item m="1" x="104"/>
        <item m="1" x="31"/>
        <item m="1" x="161"/>
        <item m="1" x="120"/>
        <item m="1" x="42"/>
        <item m="1" x="160"/>
        <item m="1" x="64"/>
        <item m="1" x="159"/>
        <item m="1" x="10"/>
        <item m="1" x="149"/>
        <item m="1" x="38"/>
        <item m="1" x="47"/>
        <item m="1" x="45"/>
        <item m="1" x="117"/>
        <item m="1" x="134"/>
        <item m="1" x="98"/>
        <item m="1" x="136"/>
        <item m="1" x="168"/>
        <item m="1" x="150"/>
        <item m="1" x="110"/>
        <item m="1" x="19"/>
        <item m="1" x="80"/>
        <item m="1" x="145"/>
        <item m="1" x="18"/>
        <item m="1" x="105"/>
        <item m="1" x="89"/>
        <item x="2"/>
        <item m="1" x="50"/>
        <item m="1" x="43"/>
        <item m="1" x="56"/>
        <item m="1" x="86"/>
        <item m="1" x="130"/>
        <item m="1" x="114"/>
        <item m="1" x="140"/>
        <item m="1" x="67"/>
        <item m="1" x="15"/>
        <item m="1" x="73"/>
        <item m="1" x="95"/>
        <item m="1" x="93"/>
        <item m="1" x="121"/>
        <item m="1" x="84"/>
        <item m="1" x="88"/>
        <item m="1" x="151"/>
        <item m="1" x="12"/>
        <item m="1" x="176"/>
        <item m="1" x="37"/>
        <item m="1" x="30"/>
        <item m="1" x="91"/>
        <item m="1" x="106"/>
        <item m="1" x="100"/>
        <item m="1" x="111"/>
        <item m="1" x="41"/>
        <item m="1" x="40"/>
        <item m="1" x="13"/>
        <item m="1" x="122"/>
        <item m="1" x="118"/>
        <item m="1" x="158"/>
        <item m="1" x="21"/>
        <item m="1" x="90"/>
        <item m="1" x="148"/>
        <item m="1" x="53"/>
        <item m="1" x="135"/>
        <item m="1" x="94"/>
        <item m="1" x="124"/>
        <item m="1" x="139"/>
        <item m="1" x="65"/>
        <item m="1" x="35"/>
        <item m="1" x="166"/>
        <item m="1" x="174"/>
        <item m="1" x="165"/>
        <item m="1" x="54"/>
        <item m="1" x="113"/>
        <item m="1" x="17"/>
        <item m="1" x="170"/>
        <item m="1" x="108"/>
        <item m="1" x="101"/>
        <item m="1" x="96"/>
        <item m="1" x="109"/>
        <item m="1" x="20"/>
        <item m="1" x="123"/>
        <item m="1" x="144"/>
        <item m="1" x="39"/>
        <item m="1" x="146"/>
        <item m="1" x="163"/>
        <item m="1" x="175"/>
        <item m="1" x="9"/>
        <item m="1" x="52"/>
        <item m="1" x="71"/>
        <item x="1"/>
        <item t="default"/>
      </items>
    </pivotField>
    <pivotField compact="0" outline="0" showAll="0"/>
  </pivotFields>
  <rowFields count="3">
    <field x="0"/>
    <field x="1"/>
    <field x="7"/>
  </rowFields>
  <rowItems count="8">
    <i>
      <x v="4"/>
      <x v="24"/>
      <x v="176"/>
    </i>
    <i>
      <x v="6"/>
      <x v="14"/>
      <x v="114"/>
    </i>
    <i>
      <x v="9"/>
      <x v="26"/>
      <x v="26"/>
    </i>
    <i>
      <x v="15"/>
      <x v="19"/>
      <x v="45"/>
    </i>
    <i>
      <x v="16"/>
      <x v="20"/>
      <x v="52"/>
    </i>
    <i>
      <x v="17"/>
      <x v="5"/>
      <x v="14"/>
    </i>
    <i>
      <x v="19"/>
      <x v="7"/>
      <x v="18"/>
    </i>
    <i t="grand">
      <x/>
    </i>
  </rowItems>
  <colItems count="1">
    <i/>
  </colItems>
  <formats count="16">
    <format dxfId="322">
      <pivotArea field="1" type="button" dataOnly="0" labelOnly="1" outline="0" axis="axisRow" fieldPosition="1"/>
    </format>
    <format dxfId="321">
      <pivotArea field="2" type="button" dataOnly="0" labelOnly="1" outline="0"/>
    </format>
    <format dxfId="320">
      <pivotArea field="1" type="button" dataOnly="0" labelOnly="1" outline="0" axis="axisRow" fieldPosition="1"/>
    </format>
    <format dxfId="319">
      <pivotArea field="2" type="button" dataOnly="0" labelOnly="1" outline="0"/>
    </format>
    <format dxfId="318">
      <pivotArea field="1" type="button" dataOnly="0" labelOnly="1" outline="0" axis="axisRow" fieldPosition="1"/>
    </format>
    <format dxfId="317">
      <pivotArea field="2" type="button" dataOnly="0" labelOnly="1" outline="0"/>
    </format>
    <format dxfId="316">
      <pivotArea type="all" dataOnly="0" outline="0" fieldPosition="0"/>
    </format>
    <format dxfId="315">
      <pivotArea field="1" type="button" dataOnly="0" labelOnly="1" outline="0" axis="axisRow" fieldPosition="1"/>
    </format>
    <format dxfId="314">
      <pivotArea field="2" type="button" dataOnly="0" labelOnly="1" outline="0"/>
    </format>
    <format dxfId="313">
      <pivotArea dataOnly="0" labelOnly="1" outline="0" fieldPosition="0">
        <references count="1">
          <reference field="1" count="0"/>
        </references>
      </pivotArea>
    </format>
    <format dxfId="312">
      <pivotArea dataOnly="0" labelOnly="1" grandRow="1" outline="0" fieldPosition="0"/>
    </format>
    <format dxfId="311">
      <pivotArea field="0" type="button" dataOnly="0" labelOnly="1" outline="0" axis="axisRow" fieldPosition="0"/>
    </format>
    <format dxfId="310">
      <pivotArea dataOnly="0" labelOnly="1" outline="0" fieldPosition="0">
        <references count="1">
          <reference field="0" count="9">
            <x v="2"/>
            <x v="4"/>
            <x v="5"/>
            <x v="8"/>
            <x v="13"/>
            <x v="15"/>
            <x v="16"/>
            <x v="18"/>
            <x v="23"/>
          </reference>
        </references>
      </pivotArea>
    </format>
    <format dxfId="309">
      <pivotArea field="7" type="button" dataOnly="0" labelOnly="1" outline="0" axis="axisRow" fieldPosition="2"/>
    </format>
    <format dxfId="308">
      <pivotArea dataOnly="0" labelOnly="1" grandRow="1" outline="0" fieldPosition="0"/>
    </format>
    <format dxfId="307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8"/>
          </reference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100-000007000000}" name="TablaDinámica54" cacheId="4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F59:H69" firstHeaderRow="1" firstDataRow="1" firstDataCol="3"/>
  <pivotFields count="9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compact="0" outline="0" showAll="0">
      <items count="173">
        <item m="1" x="23"/>
        <item m="1" x="148"/>
        <item m="1" x="171"/>
        <item h="1" x="0"/>
        <item m="1" x="72"/>
        <item m="1" x="14"/>
        <item x="1"/>
        <item x="2"/>
        <item h="1" m="1" x="12"/>
        <item h="1" m="1" x="168"/>
        <item h="1" m="1" x="27"/>
        <item h="1" m="1" x="85"/>
        <item h="1" m="1" x="129"/>
        <item h="1" m="1" x="106"/>
        <item h="1" m="1" x="118"/>
        <item h="1" m="1" x="161"/>
        <item h="1" x="5"/>
        <item h="1" x="3"/>
        <item h="1" m="1" x="115"/>
        <item h="1" m="1" x="20"/>
        <item h="1" x="6"/>
        <item h="1" m="1" x="136"/>
        <item h="1" m="1" x="24"/>
        <item h="1" m="1" x="131"/>
        <item h="1" m="1" x="47"/>
        <item h="1" m="1" x="31"/>
        <item h="1" m="1" x="38"/>
        <item h="1" m="1" x="62"/>
        <item h="1" m="1" x="107"/>
        <item h="1" m="1" x="74"/>
        <item h="1" m="1" x="101"/>
        <item h="1" m="1" x="142"/>
        <item h="1" m="1" x="132"/>
        <item h="1" m="1" x="19"/>
        <item h="1" m="1" x="162"/>
        <item h="1" m="1" x="52"/>
        <item h="1" m="1" x="49"/>
        <item h="1" m="1" x="157"/>
        <item h="1" m="1" x="40"/>
        <item h="1" m="1" x="163"/>
        <item h="1" m="1" x="102"/>
        <item h="1" m="1" x="114"/>
        <item h="1" m="1" x="13"/>
        <item h="1" m="1" x="39"/>
        <item h="1" m="1" x="45"/>
        <item h="1" m="1" x="147"/>
        <item h="1" m="1" x="63"/>
        <item h="1" m="1" x="34"/>
        <item h="1" m="1" x="44"/>
        <item h="1" m="1" x="151"/>
        <item h="1" m="1" x="150"/>
        <item h="1" m="1" x="154"/>
        <item h="1" m="1" x="143"/>
        <item h="1" m="1" x="69"/>
        <item h="1" m="1" x="65"/>
        <item h="1" m="1" x="153"/>
        <item h="1" m="1" x="17"/>
        <item h="1" m="1" x="79"/>
        <item h="1" m="1" x="141"/>
        <item h="1" m="1" x="66"/>
        <item h="1" m="1" x="68"/>
        <item h="1" m="1" x="94"/>
        <item h="1" m="1" x="112"/>
        <item h="1" x="7"/>
        <item h="1" m="1" x="71"/>
        <item h="1" m="1" x="121"/>
        <item h="1" m="1" x="36"/>
        <item h="1" m="1" x="10"/>
        <item h="1" m="1" x="59"/>
        <item h="1" m="1" x="22"/>
        <item h="1" m="1" x="64"/>
        <item h="1" m="1" x="35"/>
        <item h="1" m="1" x="21"/>
        <item h="1" m="1" x="127"/>
        <item h="1" m="1" x="51"/>
        <item h="1" m="1" x="97"/>
        <item h="1" m="1" x="155"/>
        <item h="1" m="1" x="46"/>
        <item h="1" m="1" x="95"/>
        <item h="1" m="1" x="78"/>
        <item h="1" m="1" x="80"/>
        <item h="1" m="1" x="11"/>
        <item h="1" m="1" x="100"/>
        <item h="1" m="1" x="58"/>
        <item h="1" m="1" x="119"/>
        <item h="1" m="1" x="120"/>
        <item h="1" m="1" x="48"/>
        <item h="1" m="1" x="167"/>
        <item h="1" m="1" x="43"/>
        <item h="1" m="1" x="60"/>
        <item h="1" m="1" x="84"/>
        <item h="1" m="1" x="70"/>
        <item h="1" m="1" x="169"/>
        <item h="1" m="1" x="164"/>
        <item h="1" m="1" x="128"/>
        <item h="1" m="1" x="57"/>
        <item h="1" m="1" x="76"/>
        <item h="1" m="1" x="139"/>
        <item h="1" m="1" x="8"/>
        <item h="1" m="1" x="50"/>
        <item h="1" m="1" x="67"/>
        <item h="1" m="1" x="81"/>
        <item h="1" m="1" x="144"/>
        <item h="1" m="1" x="56"/>
        <item h="1" m="1" x="165"/>
        <item h="1" m="1" x="138"/>
        <item h="1" m="1" x="92"/>
        <item h="1" m="1" x="123"/>
        <item h="1" m="1" x="83"/>
        <item h="1" m="1" x="86"/>
        <item h="1" m="1" x="89"/>
        <item h="1" m="1" x="16"/>
        <item h="1" m="1" x="82"/>
        <item h="1" m="1" x="42"/>
        <item h="1" m="1" x="124"/>
        <item h="1" m="1" x="145"/>
        <item h="1" m="1" x="75"/>
        <item h="1" m="1" x="122"/>
        <item h="1" m="1" x="111"/>
        <item h="1" m="1" x="126"/>
        <item h="1" m="1" x="54"/>
        <item h="1" m="1" x="29"/>
        <item h="1" m="1" x="159"/>
        <item h="1" m="1" x="134"/>
        <item h="1" m="1" x="18"/>
        <item h="1" m="1" x="160"/>
        <item h="1" m="1" x="98"/>
        <item h="1" m="1" x="91"/>
        <item h="1" m="1" x="87"/>
        <item h="1" m="1" x="133"/>
        <item h="1" m="1" x="55"/>
        <item h="1" m="1" x="113"/>
        <item h="1" m="1" x="166"/>
        <item h="1" m="1" x="108"/>
        <item h="1" m="1" x="103"/>
        <item h="1" m="1" x="99"/>
        <item h="1" m="1" x="28"/>
        <item h="1" m="1" x="15"/>
        <item h="1" m="1" x="110"/>
        <item h="1" m="1" x="109"/>
        <item h="1" m="1" x="30"/>
        <item h="1" m="1" x="104"/>
        <item h="1" m="1" x="93"/>
        <item h="1" m="1" x="135"/>
        <item h="1" m="1" x="152"/>
        <item h="1" m="1" x="137"/>
        <item h="1" m="1" x="32"/>
        <item h="1" m="1" x="9"/>
        <item h="1" m="1" x="105"/>
        <item h="1" m="1" x="25"/>
        <item h="1" m="1" x="170"/>
        <item h="1" m="1" x="41"/>
        <item h="1" m="1" x="158"/>
        <item h="1" m="1" x="130"/>
        <item h="1" m="1" x="96"/>
        <item h="1" m="1" x="116"/>
        <item h="1" m="1" x="33"/>
        <item h="1" m="1" x="88"/>
        <item h="1" m="1" x="26"/>
        <item h="1" m="1" x="149"/>
        <item h="1" m="1" x="156"/>
        <item h="1" m="1" x="117"/>
        <item h="1" m="1" x="37"/>
        <item h="1" m="1" x="73"/>
        <item h="1" m="1" x="61"/>
        <item h="1" m="1" x="53"/>
        <item h="1" m="1" x="146"/>
        <item h="1" m="1" x="140"/>
        <item h="1" m="1" x="125"/>
        <item h="1" x="4"/>
        <item h="1" m="1" x="90"/>
        <item h="1" m="1" x="77"/>
        <item t="default"/>
      </items>
    </pivotField>
    <pivotField compact="0" outline="0" showAll="0"/>
    <pivotField axis="axisRow" compact="0" outline="0" showAll="0">
      <items count="177">
        <item m="1" x="107"/>
        <item x="9"/>
        <item x="1"/>
        <item m="1" x="49"/>
        <item m="1" x="24"/>
        <item h="1" x="0"/>
        <item m="1" x="145"/>
        <item m="1" x="161"/>
        <item m="1" x="101"/>
        <item x="8"/>
        <item m="1" x="153"/>
        <item m="1" x="131"/>
        <item m="1" x="14"/>
        <item m="1" x="169"/>
        <item m="1" x="47"/>
        <item m="1" x="54"/>
        <item m="1" x="172"/>
        <item x="4"/>
        <item m="1" x="58"/>
        <item x="3"/>
        <item m="1" x="149"/>
        <item m="1" x="150"/>
        <item m="1" x="135"/>
        <item m="1" x="120"/>
        <item m="1" x="79"/>
        <item m="1" x="141"/>
        <item m="1" x="114"/>
        <item m="1" x="25"/>
        <item m="1" x="86"/>
        <item m="1" x="71"/>
        <item x="5"/>
        <item m="1" x="52"/>
        <item m="1" x="42"/>
        <item m="1" x="29"/>
        <item m="1" x="23"/>
        <item m="1" x="48"/>
        <item m="1" x="147"/>
        <item m="1" x="61"/>
        <item m="1" x="143"/>
        <item m="1" x="173"/>
        <item m="1" x="80"/>
        <item m="1" x="95"/>
        <item m="1" x="69"/>
        <item m="1" x="138"/>
        <item m="1" x="75"/>
        <item m="1" x="21"/>
        <item m="1" x="105"/>
        <item m="1" x="164"/>
        <item m="1" x="44"/>
        <item m="1" x="106"/>
        <item m="1" x="89"/>
        <item m="1" x="90"/>
        <item m="1" x="142"/>
        <item m="1" x="70"/>
        <item m="1" x="129"/>
        <item m="1" x="81"/>
        <item m="1" x="53"/>
        <item m="1" x="67"/>
        <item m="1" x="139"/>
        <item m="1" x="127"/>
        <item m="1" x="22"/>
        <item m="1" x="78"/>
        <item m="1" x="128"/>
        <item x="7"/>
        <item m="1" x="76"/>
        <item m="1" x="104"/>
        <item m="1" x="73"/>
        <item m="1" x="112"/>
        <item m="1" x="97"/>
        <item m="1" x="125"/>
        <item m="1" x="111"/>
        <item m="1" x="132"/>
        <item m="1" x="12"/>
        <item m="1" x="133"/>
        <item m="1" x="154"/>
        <item x="2"/>
        <item m="1" x="19"/>
        <item m="1" x="130"/>
        <item m="1" x="35"/>
        <item m="1" x="72"/>
        <item m="1" x="15"/>
        <item m="1" x="100"/>
        <item m="1" x="20"/>
        <item m="1" x="56"/>
        <item m="1" x="17"/>
        <item m="1" x="170"/>
        <item m="1" x="46"/>
        <item m="1" x="134"/>
        <item m="1" x="158"/>
        <item m="1" x="121"/>
        <item m="1" x="68"/>
        <item m="1" x="155"/>
        <item m="1" x="74"/>
        <item m="1" x="157"/>
        <item m="1" x="64"/>
        <item m="1" x="39"/>
        <item m="1" x="136"/>
        <item m="1" x="171"/>
        <item m="1" x="108"/>
        <item m="1" x="51"/>
        <item m="1" x="102"/>
        <item m="1" x="98"/>
        <item m="1" x="30"/>
        <item m="1" x="18"/>
        <item m="1" x="146"/>
        <item m="1" x="65"/>
        <item m="1" x="116"/>
        <item m="1" x="84"/>
        <item m="1" x="16"/>
        <item m="1" x="36"/>
        <item m="1" x="122"/>
        <item m="1" x="109"/>
        <item m="1" x="31"/>
        <item m="1" x="148"/>
        <item m="1" x="166"/>
        <item m="1" x="82"/>
        <item m="1" x="34"/>
        <item m="1" x="91"/>
        <item m="1" x="13"/>
        <item m="1" x="115"/>
        <item m="1" x="45"/>
        <item m="1" x="62"/>
        <item m="1" x="175"/>
        <item m="1" x="28"/>
        <item m="1" x="94"/>
        <item x="6"/>
        <item m="1" x="26"/>
        <item m="1" x="50"/>
        <item m="1" x="85"/>
        <item m="1" x="119"/>
        <item m="1" x="174"/>
        <item m="1" x="165"/>
        <item m="1" x="123"/>
        <item m="1" x="37"/>
        <item m="1" x="99"/>
        <item m="1" x="55"/>
        <item m="1" x="163"/>
        <item m="1" x="162"/>
        <item m="1" x="168"/>
        <item m="1" x="124"/>
        <item m="1" x="43"/>
        <item m="1" x="83"/>
        <item m="1" x="156"/>
        <item m="1" x="63"/>
        <item m="1" x="159"/>
        <item m="1" x="10"/>
        <item m="1" x="151"/>
        <item m="1" x="40"/>
        <item m="1" x="38"/>
        <item m="1" x="41"/>
        <item m="1" x="87"/>
        <item m="1" x="57"/>
        <item m="1" x="110"/>
        <item m="1" x="27"/>
        <item m="1" x="103"/>
        <item m="1" x="126"/>
        <item m="1" x="113"/>
        <item m="1" x="140"/>
        <item m="1" x="66"/>
        <item m="1" x="167"/>
        <item m="1" x="77"/>
        <item m="1" x="96"/>
        <item m="1" x="117"/>
        <item m="1" x="118"/>
        <item m="1" x="88"/>
        <item m="1" x="152"/>
        <item m="1" x="59"/>
        <item m="1" x="160"/>
        <item m="1" x="33"/>
        <item m="1" x="60"/>
        <item m="1" x="93"/>
        <item m="1" x="92"/>
        <item m="1" x="32"/>
        <item m="1" x="11"/>
        <item m="1" x="137"/>
        <item m="1" x="14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3">
    <field x="0"/>
    <field x="1"/>
    <field x="4"/>
  </rowFields>
  <rowItems count="10">
    <i>
      <x v="2"/>
      <x v="15"/>
      <x v="2"/>
    </i>
    <i>
      <x v="6"/>
      <x v="14"/>
      <x v="75"/>
    </i>
    <i>
      <x v="7"/>
      <x v="12"/>
      <x v="19"/>
    </i>
    <i>
      <x v="11"/>
      <x/>
      <x v="17"/>
    </i>
    <i>
      <x v="16"/>
      <x v="20"/>
      <x v="30"/>
    </i>
    <i>
      <x v="17"/>
      <x v="5"/>
      <x v="125"/>
    </i>
    <i>
      <x v="19"/>
      <x v="7"/>
      <x v="63"/>
    </i>
    <i>
      <x v="22"/>
      <x v="21"/>
      <x v="9"/>
    </i>
    <i>
      <x v="23"/>
      <x v="22"/>
      <x v="1"/>
    </i>
    <i t="grand">
      <x/>
    </i>
  </rowItems>
  <colItems count="1">
    <i/>
  </colItems>
  <formats count="20">
    <format dxfId="342">
      <pivotArea field="1" type="button" dataOnly="0" labelOnly="1" outline="0" axis="axisRow" fieldPosition="1"/>
    </format>
    <format dxfId="341">
      <pivotArea field="2" type="button" dataOnly="0" labelOnly="1" outline="0"/>
    </format>
    <format dxfId="340">
      <pivotArea field="1" type="button" dataOnly="0" labelOnly="1" outline="0" axis="axisRow" fieldPosition="1"/>
    </format>
    <format dxfId="339">
      <pivotArea field="2" type="button" dataOnly="0" labelOnly="1" outline="0"/>
    </format>
    <format dxfId="338">
      <pivotArea field="1" type="button" dataOnly="0" labelOnly="1" outline="0" axis="axisRow" fieldPosition="1"/>
    </format>
    <format dxfId="337">
      <pivotArea field="2" type="button" dataOnly="0" labelOnly="1" outline="0"/>
    </format>
    <format dxfId="336">
      <pivotArea type="all" dataOnly="0" outline="0" fieldPosition="0"/>
    </format>
    <format dxfId="335">
      <pivotArea field="1" type="button" dataOnly="0" labelOnly="1" outline="0" axis="axisRow" fieldPosition="1"/>
    </format>
    <format dxfId="334">
      <pivotArea field="2" type="button" dataOnly="0" labelOnly="1" outline="0"/>
    </format>
    <format dxfId="333">
      <pivotArea dataOnly="0" labelOnly="1" outline="0" fieldPosition="0">
        <references count="1">
          <reference field="1" count="0"/>
        </references>
      </pivotArea>
    </format>
    <format dxfId="332">
      <pivotArea dataOnly="0" labelOnly="1" grandRow="1" outline="0" fieldPosition="0"/>
    </format>
    <format dxfId="331">
      <pivotArea field="0" type="button" dataOnly="0" labelOnly="1" outline="0" axis="axisRow" fieldPosition="0"/>
    </format>
    <format dxfId="330">
      <pivotArea dataOnly="0" labelOnly="1" outline="0" fieldPosition="0">
        <references count="1">
          <reference field="0" count="9">
            <x v="2"/>
            <x v="4"/>
            <x v="5"/>
            <x v="8"/>
            <x v="13"/>
            <x v="15"/>
            <x v="16"/>
            <x v="18"/>
            <x v="23"/>
          </reference>
        </references>
      </pivotArea>
    </format>
    <format dxfId="329">
      <pivotArea field="4" type="button" dataOnly="0" labelOnly="1" outline="0" axis="axisRow" fieldPosition="2"/>
    </format>
    <format dxfId="328">
      <pivotArea dataOnly="0" labelOnly="1" grandRow="1" outline="0" fieldPosition="0"/>
    </format>
    <format dxfId="327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4" count="1">
            <x v="2"/>
          </reference>
        </references>
      </pivotArea>
    </format>
    <format dxfId="326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7"/>
          </reference>
          <reference field="4" count="1">
            <x v="4"/>
          </reference>
        </references>
      </pivotArea>
    </format>
    <format dxfId="325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4"/>
          </reference>
          <reference field="4" count="1">
            <x v="1"/>
          </reference>
        </references>
      </pivotArea>
    </format>
    <format dxfId="324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0"/>
          </reference>
          <reference field="4" count="1">
            <x v="0"/>
          </reference>
        </references>
      </pivotArea>
    </format>
    <format dxfId="323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"/>
          </reference>
          <reference field="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100-00000E000000}" name="TablaDinámica61" cacheId="2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B115:D125" firstHeaderRow="1" firstDataRow="1" firstDataCol="3"/>
  <pivotFields count="9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compact="0" outline="0" showAll="0">
      <items count="181">
        <item m="1" x="164"/>
        <item m="1" x="116"/>
        <item m="1" x="170"/>
        <item m="1" x="36"/>
        <item m="1" x="157"/>
        <item m="1" x="175"/>
        <item m="1" x="114"/>
        <item m="1" x="179"/>
        <item h="1" x="0"/>
        <item h="1" m="1" x="28"/>
        <item h="1" m="1" x="64"/>
        <item h="1" x="5"/>
        <item h="1" m="1" x="56"/>
        <item h="1" m="1" x="73"/>
        <item h="1" m="1" x="89"/>
        <item h="1" m="1" x="124"/>
        <item h="1" m="1" x="33"/>
        <item h="1" m="1" x="178"/>
        <item h="1" m="1" x="70"/>
        <item h="1" m="1" x="137"/>
        <item h="1" m="1" x="21"/>
        <item h="1" m="1" x="134"/>
        <item h="1" m="1" x="167"/>
        <item h="1" m="1" x="55"/>
        <item h="1" m="1" x="61"/>
        <item h="1" m="1" x="104"/>
        <item h="1" m="1" x="165"/>
        <item h="1" m="1" x="144"/>
        <item h="1" m="1" x="68"/>
        <item h="1" m="1" x="152"/>
        <item h="1" m="1" x="163"/>
        <item h="1" m="1" x="84"/>
        <item h="1" m="1" x="109"/>
        <item h="1" m="1" x="145"/>
        <item h="1" m="1" x="112"/>
        <item h="1" m="1" x="27"/>
        <item h="1" m="1" x="60"/>
        <item h="1" m="1" x="81"/>
        <item h="1" m="1" x="29"/>
        <item h="1" m="1" x="24"/>
        <item h="1" m="1" x="65"/>
        <item h="1" m="1" x="169"/>
        <item h="1" m="1" x="17"/>
        <item h="1" m="1" x="13"/>
        <item h="1" m="1" x="14"/>
        <item h="1" m="1" x="31"/>
        <item h="1" m="1" x="129"/>
        <item h="1" m="1" x="119"/>
        <item h="1" m="1" x="172"/>
        <item h="1" m="1" x="111"/>
        <item h="1" m="1" x="58"/>
        <item h="1" m="1" x="136"/>
        <item h="1" m="1" x="76"/>
        <item h="1" m="1" x="79"/>
        <item h="1" m="1" x="125"/>
        <item h="1" m="1" x="66"/>
        <item h="1" m="1" x="95"/>
        <item h="1" m="1" x="103"/>
        <item h="1" m="1" x="100"/>
        <item h="1" m="1" x="141"/>
        <item h="1" m="1" x="74"/>
        <item h="1" m="1" x="115"/>
        <item h="1" m="1" x="117"/>
        <item h="1" m="1" x="99"/>
        <item h="1" m="1" x="105"/>
        <item h="1" m="1" x="23"/>
        <item h="1" m="1" x="147"/>
        <item h="1" m="1" x="160"/>
        <item h="1" m="1" x="34"/>
        <item h="1" m="1" x="42"/>
        <item h="1" m="1" x="143"/>
        <item h="1" m="1" x="78"/>
        <item h="1" m="1" x="35"/>
        <item h="1" m="1" x="161"/>
        <item h="1" m="1" x="80"/>
        <item h="1" m="1" x="38"/>
        <item h="1" m="1" x="102"/>
        <item h="1" m="1" x="39"/>
        <item h="1" m="1" x="87"/>
        <item h="1" m="1" x="77"/>
        <item h="1" m="1" x="32"/>
        <item h="1" m="1" x="131"/>
        <item h="1" m="1" x="54"/>
        <item h="1" m="1" x="142"/>
        <item h="1" m="1" x="82"/>
        <item h="1" m="1" x="94"/>
        <item h="1" m="1" x="97"/>
        <item h="1" m="1" x="59"/>
        <item h="1" m="1" x="108"/>
        <item h="1" m="1" x="101"/>
        <item h="1" m="1" x="85"/>
        <item h="1" m="1" x="166"/>
        <item h="1" m="1" x="53"/>
        <item h="1" m="1" x="51"/>
        <item h="1" m="1" x="107"/>
        <item h="1" m="1" x="48"/>
        <item h="1" m="1" x="45"/>
        <item h="1" m="1" x="148"/>
        <item h="1" m="1" x="63"/>
        <item h="1" m="1" x="149"/>
        <item h="1" m="1" x="121"/>
        <item h="1" m="1" x="171"/>
        <item h="1" m="1" x="72"/>
        <item h="1" m="1" x="57"/>
        <item h="1" m="1" x="15"/>
        <item h="1" m="1" x="156"/>
        <item h="1" m="1" x="67"/>
        <item h="1" m="1" x="168"/>
        <item h="1" m="1" x="96"/>
        <item h="1" m="1" x="75"/>
        <item h="1" m="1" x="43"/>
        <item h="1" m="1" x="26"/>
        <item h="1" m="1" x="50"/>
        <item h="1" m="1" x="154"/>
        <item h="1" m="1" x="173"/>
        <item h="1" m="1" x="16"/>
        <item h="1" m="1" x="12"/>
        <item h="1" m="1" x="93"/>
        <item h="1" m="1" x="162"/>
        <item h="1" m="1" x="52"/>
        <item h="1" m="1" x="126"/>
        <item h="1" m="1" x="62"/>
        <item h="1" m="1" x="123"/>
        <item h="1" m="1" x="71"/>
        <item h="1" m="1" x="88"/>
        <item h="1" m="1" x="47"/>
        <item h="1" m="1" x="18"/>
        <item h="1" m="1" x="120"/>
        <item h="1" m="1" x="151"/>
        <item h="1" m="1" x="30"/>
        <item h="1" m="1" x="91"/>
        <item h="1" m="1" x="98"/>
        <item h="1" m="1" x="83"/>
        <item h="1" m="1" x="139"/>
        <item h="1" m="1" x="130"/>
        <item h="1" m="1" x="133"/>
        <item h="1" m="1" x="86"/>
        <item h="1" m="1" x="177"/>
        <item h="1" m="1" x="176"/>
        <item h="1" m="1" x="128"/>
        <item h="1" m="1" x="132"/>
        <item h="1" m="1" x="41"/>
        <item h="1" m="1" x="20"/>
        <item h="1" m="1" x="44"/>
        <item h="1" m="1" x="49"/>
        <item h="1" m="1" x="135"/>
        <item h="1" m="1" x="46"/>
        <item h="1" m="1" x="106"/>
        <item h="1" m="1" x="118"/>
        <item h="1" m="1" x="37"/>
        <item h="1" m="1" x="22"/>
        <item h="1" m="1" x="90"/>
        <item h="1" m="1" x="92"/>
        <item h="1" m="1" x="122"/>
        <item h="1" m="1" x="153"/>
        <item h="1" m="1" x="40"/>
        <item h="1" m="1" x="146"/>
        <item h="1" m="1" x="174"/>
        <item h="1" m="1" x="127"/>
        <item h="1" m="1" x="25"/>
        <item h="1" m="1" x="11"/>
        <item h="1" m="1" x="159"/>
        <item h="1" m="1" x="158"/>
        <item h="1" m="1" x="140"/>
        <item h="1" m="1" x="19"/>
        <item h="1" m="1" x="110"/>
        <item h="1" x="2"/>
        <item h="1" m="1" x="69"/>
        <item h="1" m="1" x="150"/>
        <item h="1" m="1" x="113"/>
        <item h="1" m="1" x="155"/>
        <item h="1" m="1" x="138"/>
        <item h="1" x="1"/>
        <item h="1" x="3"/>
        <item h="1" x="4"/>
        <item h="1" x="6"/>
        <item h="1" x="7"/>
        <item h="1" x="8"/>
        <item h="1" x="9"/>
        <item h="1" x="1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197">
        <item m="1" x="180"/>
        <item m="1" x="120"/>
        <item m="1" x="66"/>
        <item m="1" x="24"/>
        <item m="1" x="72"/>
        <item m="1" x="166"/>
        <item m="1" x="124"/>
        <item h="1" x="0"/>
        <item m="1" x="186"/>
        <item m="1" x="168"/>
        <item m="1" x="78"/>
        <item m="1" x="86"/>
        <item m="1" x="151"/>
        <item m="1" x="154"/>
        <item m="1" x="170"/>
        <item m="1" x="81"/>
        <item m="1" x="75"/>
        <item m="1" x="165"/>
        <item m="1" x="36"/>
        <item m="1" x="38"/>
        <item m="1" x="76"/>
        <item m="1" x="32"/>
        <item m="1" x="171"/>
        <item m="1" x="95"/>
        <item m="1" x="119"/>
        <item m="1" x="88"/>
        <item m="1" x="41"/>
        <item m="1" x="109"/>
        <item m="1" x="42"/>
        <item m="1" x="96"/>
        <item m="1" x="121"/>
        <item m="1" x="40"/>
        <item m="1" x="21"/>
        <item m="1" x="92"/>
        <item m="1" x="35"/>
        <item m="1" x="178"/>
        <item m="1" x="143"/>
        <item m="1" x="118"/>
        <item m="1" x="13"/>
        <item m="1" x="163"/>
        <item m="1" x="57"/>
        <item m="1" x="155"/>
        <item m="1" x="187"/>
        <item m="1" x="90"/>
        <item m="1" x="132"/>
        <item x="4"/>
        <item m="1" x="104"/>
        <item m="1" x="62"/>
        <item m="1" x="117"/>
        <item m="1" x="173"/>
        <item m="1" x="128"/>
        <item m="1" x="150"/>
        <item m="1" x="108"/>
        <item m="1" x="94"/>
        <item m="1" x="185"/>
        <item m="1" x="31"/>
        <item m="1" x="59"/>
        <item m="1" x="43"/>
        <item m="1" x="65"/>
        <item m="1" x="147"/>
        <item m="1" x="46"/>
        <item m="1" x="137"/>
        <item m="1" x="47"/>
        <item m="1" x="126"/>
        <item m="1" x="100"/>
        <item m="1" x="69"/>
        <item x="9"/>
        <item m="1" x="162"/>
        <item m="1" x="142"/>
        <item m="1" x="164"/>
        <item m="1" x="56"/>
        <item m="1" x="133"/>
        <item m="1" x="190"/>
        <item m="1" x="161"/>
        <item m="1" x="184"/>
        <item m="1" x="60"/>
        <item x="5"/>
        <item m="1" x="64"/>
        <item m="1" x="112"/>
        <item m="1" x="182"/>
        <item m="1" x="158"/>
        <item m="1" x="74"/>
        <item m="1" x="172"/>
        <item m="1" x="93"/>
        <item m="1" x="141"/>
        <item m="1" x="127"/>
        <item m="1" x="145"/>
        <item m="1" x="188"/>
        <item m="1" x="195"/>
        <item m="1" x="189"/>
        <item m="1" x="30"/>
        <item m="1" x="136"/>
        <item m="1" x="10"/>
        <item m="1" x="15"/>
        <item m="1" x="34"/>
        <item m="1" x="134"/>
        <item m="1" x="28"/>
        <item m="1" x="19"/>
        <item m="1" x="18"/>
        <item m="1" x="107"/>
        <item m="1" x="63"/>
        <item m="1" x="89"/>
        <item m="1" x="82"/>
        <item m="1" x="138"/>
        <item m="1" x="70"/>
        <item m="1" x="101"/>
        <item m="1" x="111"/>
        <item x="7"/>
        <item m="1" x="11"/>
        <item m="1" x="61"/>
        <item m="1" x="22"/>
        <item m="1" x="113"/>
        <item m="1" x="176"/>
        <item m="1" x="39"/>
        <item m="1" x="114"/>
        <item m="1" x="79"/>
        <item m="1" x="191"/>
        <item m="1" x="125"/>
        <item m="1" x="135"/>
        <item m="1" x="14"/>
        <item m="1" x="84"/>
        <item m="1" x="157"/>
        <item m="1" x="85"/>
        <item m="1" x="105"/>
        <item m="1" x="115"/>
        <item m="1" x="159"/>
        <item m="1" x="26"/>
        <item m="1" x="17"/>
        <item m="1" x="68"/>
        <item m="1" x="83"/>
        <item m="1" x="77"/>
        <item m="1" x="160"/>
        <item m="1" x="193"/>
        <item m="1" x="175"/>
        <item m="1" x="144"/>
        <item m="1" x="20"/>
        <item m="1" x="169"/>
        <item m="1" x="67"/>
        <item m="1" x="102"/>
        <item m="1" x="16"/>
        <item m="1" x="25"/>
        <item m="1" x="194"/>
        <item m="1" x="80"/>
        <item m="1" x="49"/>
        <item m="1" x="45"/>
        <item m="1" x="29"/>
        <item m="1" x="53"/>
        <item m="1" x="52"/>
        <item m="1" x="27"/>
        <item m="1" x="48"/>
        <item m="1" x="131"/>
        <item m="1" x="192"/>
        <item m="1" x="12"/>
        <item m="1" x="37"/>
        <item m="1" x="174"/>
        <item m="1" x="153"/>
        <item m="1" x="99"/>
        <item m="1" x="179"/>
        <item m="1" x="55"/>
        <item m="1" x="146"/>
        <item m="1" x="116"/>
        <item m="1" x="87"/>
        <item m="1" x="177"/>
        <item m="1" x="156"/>
        <item m="1" x="33"/>
        <item m="1" x="44"/>
        <item m="1" x="103"/>
        <item m="1" x="129"/>
        <item m="1" x="23"/>
        <item m="1" x="122"/>
        <item m="1" x="130"/>
        <item m="1" x="98"/>
        <item m="1" x="50"/>
        <item m="1" x="51"/>
        <item m="1" x="139"/>
        <item m="1" x="106"/>
        <item m="1" x="58"/>
        <item m="1" x="152"/>
        <item m="1" x="148"/>
        <item m="1" x="91"/>
        <item m="1" x="97"/>
        <item m="1" x="140"/>
        <item x="1"/>
        <item m="1" x="71"/>
        <item m="1" x="73"/>
        <item m="1" x="181"/>
        <item m="1" x="149"/>
        <item m="1" x="167"/>
        <item m="1" x="183"/>
        <item m="1" x="54"/>
        <item m="1" x="110"/>
        <item m="1" x="123"/>
        <item x="2"/>
        <item x="3"/>
        <item x="6"/>
        <item x="8"/>
        <item t="default"/>
      </items>
    </pivotField>
    <pivotField compact="0" outline="0" showAll="0"/>
    <pivotField compact="0" outline="0" showAll="0"/>
  </pivotFields>
  <rowFields count="3">
    <field x="0"/>
    <field x="1"/>
    <field x="6"/>
  </rowFields>
  <rowItems count="10">
    <i>
      <x v="2"/>
      <x v="15"/>
      <x v="182"/>
    </i>
    <i>
      <x v="6"/>
      <x v="14"/>
      <x v="192"/>
    </i>
    <i>
      <x v="11"/>
      <x/>
      <x v="193"/>
    </i>
    <i>
      <x v="14"/>
      <x v="4"/>
      <x v="45"/>
    </i>
    <i>
      <x v="15"/>
      <x v="19"/>
      <x v="76"/>
    </i>
    <i>
      <x v="16"/>
      <x v="20"/>
      <x v="194"/>
    </i>
    <i>
      <x v="17"/>
      <x v="5"/>
      <x v="107"/>
    </i>
    <i>
      <x v="19"/>
      <x v="7"/>
      <x v="195"/>
    </i>
    <i>
      <x v="22"/>
      <x v="21"/>
      <x v="66"/>
    </i>
    <i t="grand">
      <x/>
    </i>
  </rowItems>
  <colItems count="1">
    <i/>
  </colItems>
  <formats count="29">
    <format dxfId="371">
      <pivotArea field="1" type="button" dataOnly="0" labelOnly="1" outline="0" axis="axisRow" fieldPosition="1"/>
    </format>
    <format dxfId="370">
      <pivotArea field="2" type="button" dataOnly="0" labelOnly="1" outline="0"/>
    </format>
    <format dxfId="369">
      <pivotArea field="1" type="button" dataOnly="0" labelOnly="1" outline="0" axis="axisRow" fieldPosition="1"/>
    </format>
    <format dxfId="368">
      <pivotArea field="2" type="button" dataOnly="0" labelOnly="1" outline="0"/>
    </format>
    <format dxfId="367">
      <pivotArea field="1" type="button" dataOnly="0" labelOnly="1" outline="0" axis="axisRow" fieldPosition="1"/>
    </format>
    <format dxfId="366">
      <pivotArea field="2" type="button" dataOnly="0" labelOnly="1" outline="0"/>
    </format>
    <format dxfId="365">
      <pivotArea type="all" dataOnly="0" outline="0" fieldPosition="0"/>
    </format>
    <format dxfId="364">
      <pivotArea field="1" type="button" dataOnly="0" labelOnly="1" outline="0" axis="axisRow" fieldPosition="1"/>
    </format>
    <format dxfId="363">
      <pivotArea field="2" type="button" dataOnly="0" labelOnly="1" outline="0"/>
    </format>
    <format dxfId="362">
      <pivotArea dataOnly="0" labelOnly="1" outline="0" fieldPosition="0">
        <references count="1">
          <reference field="1" count="0"/>
        </references>
      </pivotArea>
    </format>
    <format dxfId="361">
      <pivotArea dataOnly="0" labelOnly="1" grandRow="1" outline="0" fieldPosition="0"/>
    </format>
    <format dxfId="360">
      <pivotArea field="0" type="button" dataOnly="0" labelOnly="1" outline="0" axis="axisRow" fieldPosition="0"/>
    </format>
    <format dxfId="359">
      <pivotArea dataOnly="0" labelOnly="1" outline="0" fieldPosition="0">
        <references count="1">
          <reference field="0" count="9">
            <x v="2"/>
            <x v="4"/>
            <x v="5"/>
            <x v="8"/>
            <x v="13"/>
            <x v="15"/>
            <x v="16"/>
            <x v="18"/>
            <x v="23"/>
          </reference>
        </references>
      </pivotArea>
    </format>
    <format dxfId="358">
      <pivotArea field="6" type="button" dataOnly="0" labelOnly="1" outline="0" axis="axisRow" fieldPosition="2"/>
    </format>
    <format dxfId="357">
      <pivotArea dataOnly="0" labelOnly="1" grandRow="1" outline="0" fieldPosition="0"/>
    </format>
    <format dxfId="356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5"/>
          </reference>
          <reference field="6" count="1">
            <x v="4"/>
          </reference>
        </references>
      </pivotArea>
    </format>
    <format dxfId="355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0"/>
          </reference>
          <reference field="6" count="1">
            <x v="6"/>
          </reference>
        </references>
      </pivotArea>
    </format>
    <format dxfId="354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4"/>
          </reference>
          <reference field="6" count="1">
            <x v="0"/>
          </reference>
        </references>
      </pivotArea>
    </format>
    <format dxfId="353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6" count="1">
            <x v="2"/>
          </reference>
        </references>
      </pivotArea>
    </format>
    <format dxfId="352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7"/>
          </reference>
          <reference field="6" count="1">
            <x v="1"/>
          </reference>
        </references>
      </pivotArea>
    </format>
    <format dxfId="351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6" count="1">
            <x v="21"/>
          </reference>
        </references>
      </pivotArea>
    </format>
    <format dxfId="350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12"/>
          </reference>
          <reference field="6" count="1">
            <x v="1"/>
          </reference>
        </references>
      </pivotArea>
    </format>
    <format dxfId="349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0"/>
          </reference>
          <reference field="6" count="1">
            <x v="103"/>
          </reference>
        </references>
      </pivotArea>
    </format>
    <format dxfId="348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4"/>
          </reference>
          <reference field="6" count="1">
            <x v="1"/>
          </reference>
        </references>
      </pivotArea>
    </format>
    <format dxfId="347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"/>
          </reference>
          <reference field="6" count="1">
            <x v="5"/>
          </reference>
        </references>
      </pivotArea>
    </format>
    <format dxfId="34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"/>
          </reference>
          <reference field="6" count="1">
            <x v="3"/>
          </reference>
        </references>
      </pivotArea>
    </format>
    <format dxfId="345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6" count="1">
            <x v="120"/>
          </reference>
        </references>
      </pivotArea>
    </format>
    <format dxfId="344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3"/>
          </reference>
          <reference field="6" count="1">
            <x v="1"/>
          </reference>
        </references>
      </pivotArea>
    </format>
    <format dxfId="343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7"/>
          </reference>
          <reference field="6" count="1">
            <x v="10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100-000012000000}" name="TablaDinámica65" cacheId="5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J171:L178" firstHeaderRow="1" firstDataRow="1" firstDataCol="3"/>
  <pivotFields count="9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compact="0" outline="0" showAll="0">
      <items count="169">
        <item m="1" x="147"/>
        <item m="1" x="98"/>
        <item h="1" x="0"/>
        <item m="1" x="90"/>
        <item m="1" x="94"/>
        <item m="1" x="78"/>
        <item m="1" x="129"/>
        <item m="1" x="45"/>
        <item h="1" m="1" x="43"/>
        <item h="1" m="1" x="86"/>
        <item h="1" m="1" x="71"/>
        <item h="1" m="1" x="151"/>
        <item h="1" m="1" x="33"/>
        <item h="1" m="1" x="157"/>
        <item h="1" x="8"/>
        <item h="1" x="4"/>
        <item h="1" m="1" x="100"/>
        <item h="1" m="1" x="55"/>
        <item h="1" m="1" x="53"/>
        <item h="1" m="1" x="11"/>
        <item h="1" m="1" x="59"/>
        <item h="1" m="1" x="58"/>
        <item h="1" m="1" x="32"/>
        <item h="1" m="1" x="114"/>
        <item h="1" m="1" x="57"/>
        <item h="1" m="1" x="164"/>
        <item h="1" m="1" x="127"/>
        <item h="1" m="1" x="17"/>
        <item h="1" m="1" x="65"/>
        <item h="1" m="1" x="123"/>
        <item h="1" m="1" x="158"/>
        <item h="1" m="1" x="31"/>
        <item h="1" m="1" x="161"/>
        <item h="1" m="1" x="93"/>
        <item h="1" m="1" x="23"/>
        <item h="1" m="1" x="49"/>
        <item h="1" m="1" x="96"/>
        <item h="1" m="1" x="80"/>
        <item h="1" m="1" x="128"/>
        <item h="1" m="1" x="124"/>
        <item h="1" m="1" x="137"/>
        <item h="1" m="1" x="118"/>
        <item h="1" m="1" x="102"/>
        <item h="1" m="1" x="115"/>
        <item h="1" m="1" x="85"/>
        <item h="1" m="1" x="74"/>
        <item h="1" m="1" x="156"/>
        <item h="1" m="1" x="104"/>
        <item h="1" m="1" x="167"/>
        <item h="1" m="1" x="87"/>
        <item h="1" m="1" x="110"/>
        <item h="1" m="1" x="36"/>
        <item h="1" m="1" x="131"/>
        <item h="1" m="1" x="9"/>
        <item h="1" m="1" x="145"/>
        <item h="1" m="1" x="146"/>
        <item h="1" m="1" x="149"/>
        <item h="1" m="1" x="38"/>
        <item h="1" m="1" x="16"/>
        <item h="1" m="1" x="21"/>
        <item h="1" m="1" x="139"/>
        <item h="1" m="1" x="39"/>
        <item h="1" m="1" x="63"/>
        <item h="1" m="1" x="67"/>
        <item h="1" m="1" x="24"/>
        <item h="1" m="1" x="106"/>
        <item h="1" m="1" x="119"/>
        <item h="1" m="1" x="66"/>
        <item h="1" m="1" x="19"/>
        <item h="1" m="1" x="28"/>
        <item h="1" m="1" x="121"/>
        <item h="1" m="1" x="56"/>
        <item h="1" m="1" x="89"/>
        <item h="1" m="1" x="108"/>
        <item h="1" m="1" x="154"/>
        <item h="1" m="1" x="29"/>
        <item h="1" m="1" x="153"/>
        <item h="1" m="1" x="130"/>
        <item h="1" m="1" x="51"/>
        <item h="1" m="1" x="143"/>
        <item h="1" m="1" x="52"/>
        <item h="1" m="1" x="40"/>
        <item h="1" m="1" x="160"/>
        <item h="1" m="1" x="68"/>
        <item h="1" m="1" x="82"/>
        <item h="1" m="1" x="79"/>
        <item h="1" m="1" x="150"/>
        <item h="1" m="1" x="117"/>
        <item h="1" m="1" x="163"/>
        <item h="1" m="1" x="18"/>
        <item h="1" m="1" x="107"/>
        <item h="1" x="6"/>
        <item h="1" m="1" x="15"/>
        <item h="1" m="1" x="88"/>
        <item h="1" m="1" x="165"/>
        <item h="1" m="1" x="54"/>
        <item h="1" m="1" x="35"/>
        <item h="1" m="1" x="144"/>
        <item h="1" m="1" x="10"/>
        <item h="1" m="1" x="62"/>
        <item h="1" m="1" x="25"/>
        <item h="1" m="1" x="91"/>
        <item h="1" m="1" x="112"/>
        <item h="1" m="1" x="61"/>
        <item h="1" m="1" x="14"/>
        <item h="1" m="1" x="132"/>
        <item h="1" m="1" x="136"/>
        <item h="1" m="1" x="64"/>
        <item h="1" m="1" x="77"/>
        <item h="1" m="1" x="135"/>
        <item h="1" m="1" x="27"/>
        <item h="1" m="1" x="134"/>
        <item h="1" m="1" x="109"/>
        <item h="1" m="1" x="141"/>
        <item h="1" m="1" x="73"/>
        <item h="1" m="1" x="26"/>
        <item h="1" m="1" x="69"/>
        <item h="1" m="1" x="20"/>
        <item h="1" m="1" x="75"/>
        <item h="1" x="7"/>
        <item h="1" m="1" x="95"/>
        <item h="1" m="1" x="50"/>
        <item h="1" m="1" x="122"/>
        <item h="1" m="1" x="83"/>
        <item h="1" m="1" x="138"/>
        <item h="1" m="1" x="47"/>
        <item h="1" m="1" x="142"/>
        <item h="1" m="1" x="166"/>
        <item h="1" m="1" x="162"/>
        <item h="1" m="1" x="103"/>
        <item h="1" m="1" x="97"/>
        <item h="1" m="1" x="101"/>
        <item h="1" m="1" x="76"/>
        <item h="1" m="1" x="126"/>
        <item h="1" m="1" x="12"/>
        <item h="1" m="1" x="159"/>
        <item h="1" m="1" x="60"/>
        <item h="1" m="1" x="70"/>
        <item h="1" m="1" x="72"/>
        <item h="1" m="1" x="111"/>
        <item h="1" m="1" x="148"/>
        <item h="1" m="1" x="48"/>
        <item h="1" m="1" x="120"/>
        <item h="1" m="1" x="152"/>
        <item h="1" m="1" x="140"/>
        <item h="1" m="1" x="30"/>
        <item h="1" m="1" x="37"/>
        <item h="1" m="1" x="81"/>
        <item h="1" m="1" x="13"/>
        <item h="1" m="1" x="46"/>
        <item h="1" m="1" x="41"/>
        <item h="1" m="1" x="116"/>
        <item h="1" m="1" x="84"/>
        <item h="1" m="1" x="92"/>
        <item h="1" m="1" x="113"/>
        <item h="1" m="1" x="155"/>
        <item h="1" m="1" x="34"/>
        <item h="1" m="1" x="44"/>
        <item h="1" m="1" x="99"/>
        <item h="1" m="1" x="125"/>
        <item h="1" m="1" x="133"/>
        <item h="1" m="1" x="42"/>
        <item h="1" m="1" x="105"/>
        <item h="1" m="1" x="22"/>
        <item h="1" x="1"/>
        <item h="1" x="2"/>
        <item h="1" x="3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85">
        <item m="1" x="165"/>
        <item m="1" x="103"/>
        <item m="1" x="170"/>
        <item m="1" x="49"/>
        <item m="1" x="31"/>
        <item m="1" x="52"/>
        <item m="1" x="82"/>
        <item m="1" x="76"/>
        <item h="1" x="0"/>
        <item m="1" x="15"/>
        <item m="1" x="63"/>
        <item m="1" x="126"/>
        <item m="1" x="110"/>
        <item m="1" x="90"/>
        <item m="1" x="142"/>
        <item m="1" x="10"/>
        <item m="1" x="24"/>
        <item m="1" x="176"/>
        <item m="1" x="93"/>
        <item m="1" x="78"/>
        <item m="1" x="95"/>
        <item m="1" x="180"/>
        <item m="1" x="18"/>
        <item m="1" x="65"/>
        <item m="1" x="89"/>
        <item m="1" x="128"/>
        <item m="1" x="17"/>
        <item m="1" x="38"/>
        <item m="1" x="48"/>
        <item m="1" x="75"/>
        <item m="1" x="166"/>
        <item m="1" x="73"/>
        <item m="1" x="56"/>
        <item m="1" x="12"/>
        <item m="1" x="138"/>
        <item m="1" x="154"/>
        <item m="1" x="26"/>
        <item m="1" x="69"/>
        <item m="1" x="67"/>
        <item m="1" x="57"/>
        <item m="1" x="150"/>
        <item m="1" x="132"/>
        <item m="1" x="146"/>
        <item m="1" x="14"/>
        <item m="1" x="120"/>
        <item m="1" x="34"/>
        <item m="1" x="169"/>
        <item m="1" x="84"/>
        <item m="1" x="118"/>
        <item m="1" x="124"/>
        <item m="1" x="51"/>
        <item m="1" x="77"/>
        <item m="1" x="72"/>
        <item m="1" x="59"/>
        <item x="4"/>
        <item m="1" x="129"/>
        <item m="1" x="100"/>
        <item m="1" x="16"/>
        <item m="1" x="101"/>
        <item m="1" x="25"/>
        <item m="1" x="108"/>
        <item m="1" x="107"/>
        <item m="1" x="181"/>
        <item m="1" x="115"/>
        <item m="1" x="177"/>
        <item m="1" x="29"/>
        <item m="1" x="43"/>
        <item m="1" x="28"/>
        <item m="1" x="74"/>
        <item m="1" x="21"/>
        <item m="1" x="96"/>
        <item m="1" x="153"/>
        <item m="1" x="60"/>
        <item m="1" x="159"/>
        <item m="1" x="141"/>
        <item m="1" x="133"/>
        <item m="1" x="45"/>
        <item m="1" x="183"/>
        <item m="1" x="27"/>
        <item m="1" x="86"/>
        <item m="1" x="182"/>
        <item m="1" x="144"/>
        <item m="1" x="7"/>
        <item m="1" x="163"/>
        <item m="1" x="168"/>
        <item m="1" x="44"/>
        <item m="1" x="91"/>
        <item m="1" x="94"/>
        <item m="1" x="41"/>
        <item m="1" x="156"/>
        <item m="1" x="162"/>
        <item m="1" x="46"/>
        <item m="1" x="70"/>
        <item m="1" x="116"/>
        <item m="1" x="135"/>
        <item m="1" x="155"/>
        <item m="1" x="11"/>
        <item m="1" x="54"/>
        <item m="1" x="143"/>
        <item m="1" x="151"/>
        <item m="1" x="68"/>
        <item m="1" x="85"/>
        <item m="1" x="172"/>
        <item m="1" x="36"/>
        <item m="1" x="171"/>
        <item m="1" x="35"/>
        <item m="1" x="47"/>
        <item m="1" x="98"/>
        <item m="1" x="30"/>
        <item m="1" x="83"/>
        <item m="1" x="164"/>
        <item m="1" x="23"/>
        <item m="1" x="179"/>
        <item m="1" x="117"/>
        <item m="1" x="19"/>
        <item m="1" x="58"/>
        <item m="1" x="139"/>
        <item m="1" x="160"/>
        <item m="1" x="8"/>
        <item m="1" x="136"/>
        <item m="1" x="64"/>
        <item m="1" x="97"/>
        <item m="1" x="122"/>
        <item m="1" x="13"/>
        <item m="1" x="145"/>
        <item m="1" x="131"/>
        <item m="1" x="66"/>
        <item m="1" x="81"/>
        <item m="1" x="149"/>
        <item m="1" x="123"/>
        <item m="1" x="9"/>
        <item m="1" x="147"/>
        <item m="1" x="148"/>
        <item m="1" x="121"/>
        <item m="1" x="104"/>
        <item m="1" x="87"/>
        <item m="1" x="42"/>
        <item m="1" x="167"/>
        <item m="1" x="137"/>
        <item m="1" x="53"/>
        <item m="1" x="130"/>
        <item m="1" x="40"/>
        <item m="1" x="152"/>
        <item x="1"/>
        <item m="1" x="178"/>
        <item m="1" x="175"/>
        <item m="1" x="112"/>
        <item m="1" x="113"/>
        <item m="1" x="106"/>
        <item m="1" x="111"/>
        <item m="1" x="79"/>
        <item m="1" x="134"/>
        <item m="1" x="140"/>
        <item m="1" x="39"/>
        <item m="1" x="61"/>
        <item m="1" x="62"/>
        <item m="1" x="119"/>
        <item m="1" x="157"/>
        <item m="1" x="33"/>
        <item m="1" x="37"/>
        <item m="1" x="158"/>
        <item m="1" x="71"/>
        <item m="1" x="50"/>
        <item m="1" x="55"/>
        <item m="1" x="125"/>
        <item m="1" x="88"/>
        <item m="1" x="99"/>
        <item m="1" x="127"/>
        <item m="1" x="174"/>
        <item m="1" x="173"/>
        <item m="1" x="109"/>
        <item m="1" x="161"/>
        <item x="6"/>
        <item m="1" x="22"/>
        <item m="1" x="114"/>
        <item m="1" x="105"/>
        <item m="1" x="32"/>
        <item m="1" x="80"/>
        <item m="1" x="20"/>
        <item m="1" x="102"/>
        <item m="1" x="92"/>
        <item x="2"/>
        <item x="3"/>
        <item x="5"/>
        <item t="default"/>
      </items>
    </pivotField>
  </pivotFields>
  <rowFields count="3">
    <field x="0"/>
    <field x="1"/>
    <field x="8"/>
  </rowFields>
  <rowItems count="7">
    <i>
      <x v="1"/>
      <x v="9"/>
      <x v="143"/>
    </i>
    <i>
      <x v="6"/>
      <x v="14"/>
      <x v="181"/>
    </i>
    <i>
      <x v="16"/>
      <x v="20"/>
      <x v="182"/>
    </i>
    <i>
      <x v="17"/>
      <x v="5"/>
      <x v="54"/>
    </i>
    <i>
      <x v="18"/>
      <x v="6"/>
      <x v="183"/>
    </i>
    <i>
      <x v="19"/>
      <x v="7"/>
      <x v="172"/>
    </i>
    <i t="grand">
      <x/>
    </i>
  </rowItems>
  <colItems count="1">
    <i/>
  </colItems>
  <formats count="25">
    <format dxfId="396">
      <pivotArea field="1" type="button" dataOnly="0" labelOnly="1" outline="0" axis="axisRow" fieldPosition="1"/>
    </format>
    <format dxfId="395">
      <pivotArea field="2" type="button" dataOnly="0" labelOnly="1" outline="0"/>
    </format>
    <format dxfId="394">
      <pivotArea field="1" type="button" dataOnly="0" labelOnly="1" outline="0" axis="axisRow" fieldPosition="1"/>
    </format>
    <format dxfId="393">
      <pivotArea field="2" type="button" dataOnly="0" labelOnly="1" outline="0"/>
    </format>
    <format dxfId="392">
      <pivotArea field="1" type="button" dataOnly="0" labelOnly="1" outline="0" axis="axisRow" fieldPosition="1"/>
    </format>
    <format dxfId="391">
      <pivotArea field="2" type="button" dataOnly="0" labelOnly="1" outline="0"/>
    </format>
    <format dxfId="390">
      <pivotArea type="all" dataOnly="0" outline="0" fieldPosition="0"/>
    </format>
    <format dxfId="389">
      <pivotArea field="1" type="button" dataOnly="0" labelOnly="1" outline="0" axis="axisRow" fieldPosition="1"/>
    </format>
    <format dxfId="388">
      <pivotArea field="2" type="button" dataOnly="0" labelOnly="1" outline="0"/>
    </format>
    <format dxfId="387">
      <pivotArea dataOnly="0" labelOnly="1" outline="0" fieldPosition="0">
        <references count="1">
          <reference field="1" count="0"/>
        </references>
      </pivotArea>
    </format>
    <format dxfId="386">
      <pivotArea dataOnly="0" labelOnly="1" grandRow="1" outline="0" fieldPosition="0"/>
    </format>
    <format dxfId="385">
      <pivotArea field="0" type="button" dataOnly="0" labelOnly="1" outline="0" axis="axisRow" fieldPosition="0"/>
    </format>
    <format dxfId="384">
      <pivotArea dataOnly="0" labelOnly="1" outline="0" fieldPosition="0">
        <references count="1">
          <reference field="0" count="9">
            <x v="2"/>
            <x v="4"/>
            <x v="5"/>
            <x v="8"/>
            <x v="13"/>
            <x v="15"/>
            <x v="16"/>
            <x v="18"/>
            <x v="23"/>
          </reference>
        </references>
      </pivotArea>
    </format>
    <format dxfId="383">
      <pivotArea field="8" type="button" dataOnly="0" labelOnly="1" outline="0" axis="axisRow" fieldPosition="2"/>
    </format>
    <format dxfId="382">
      <pivotArea dataOnly="0" labelOnly="1" grandRow="1" outline="0" fieldPosition="0"/>
    </format>
    <format dxfId="38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6"/>
          </reference>
          <reference field="8" count="1">
            <x v="2"/>
          </reference>
        </references>
      </pivotArea>
    </format>
    <format dxfId="38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"/>
          </reference>
          <reference field="8" count="1">
            <x v="3"/>
          </reference>
        </references>
      </pivotArea>
    </format>
    <format dxfId="379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8" count="1">
            <x v="4"/>
          </reference>
        </references>
      </pivotArea>
    </format>
    <format dxfId="378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12"/>
          </reference>
          <reference field="8" count="1">
            <x v="2"/>
          </reference>
        </references>
      </pivotArea>
    </format>
    <format dxfId="377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7"/>
          </reference>
          <reference field="8" count="1">
            <x v="0"/>
          </reference>
        </references>
      </pivotArea>
    </format>
    <format dxfId="376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0"/>
          </reference>
          <reference field="8" count="1">
            <x v="7"/>
          </reference>
        </references>
      </pivotArea>
    </format>
    <format dxfId="375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4"/>
          </reference>
          <reference field="8" count="1">
            <x v="1"/>
          </reference>
        </references>
      </pivotArea>
    </format>
    <format dxfId="374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0"/>
          </reference>
          <reference field="8" count="1">
            <x v="6"/>
          </reference>
        </references>
      </pivotArea>
    </format>
    <format dxfId="373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"/>
          </reference>
          <reference field="8" count="1">
            <x v="4"/>
          </reference>
        </references>
      </pivotArea>
    </format>
    <format dxfId="372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22"/>
          </reference>
          <reference field="8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100-00000C000000}" name="TablaDinámica59" cacheId="5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J115:L124" firstHeaderRow="1" firstDataRow="1" firstDataCol="3"/>
  <pivotFields count="9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compact="0" outline="0" showAll="0">
      <items count="169">
        <item m="1" x="147"/>
        <item m="1" x="98"/>
        <item h="1" x="0"/>
        <item m="1" x="90"/>
        <item m="1" x="94"/>
        <item m="1" x="78"/>
        <item m="1" x="129"/>
        <item m="1" x="45"/>
        <item h="1" m="1" x="43"/>
        <item h="1" m="1" x="86"/>
        <item h="1" m="1" x="71"/>
        <item h="1" m="1" x="151"/>
        <item h="1" m="1" x="33"/>
        <item h="1" m="1" x="157"/>
        <item h="1" x="8"/>
        <item h="1" x="4"/>
        <item h="1" m="1" x="100"/>
        <item h="1" m="1" x="55"/>
        <item h="1" m="1" x="53"/>
        <item h="1" m="1" x="11"/>
        <item h="1" m="1" x="59"/>
        <item h="1" m="1" x="58"/>
        <item h="1" m="1" x="32"/>
        <item h="1" m="1" x="114"/>
        <item h="1" m="1" x="57"/>
        <item h="1" m="1" x="164"/>
        <item h="1" m="1" x="127"/>
        <item h="1" m="1" x="17"/>
        <item h="1" m="1" x="65"/>
        <item h="1" m="1" x="123"/>
        <item h="1" m="1" x="158"/>
        <item h="1" m="1" x="31"/>
        <item h="1" m="1" x="161"/>
        <item h="1" m="1" x="93"/>
        <item h="1" m="1" x="23"/>
        <item h="1" m="1" x="49"/>
        <item h="1" m="1" x="96"/>
        <item h="1" m="1" x="80"/>
        <item h="1" m="1" x="128"/>
        <item h="1" m="1" x="124"/>
        <item h="1" m="1" x="137"/>
        <item h="1" m="1" x="118"/>
        <item h="1" m="1" x="102"/>
        <item h="1" m="1" x="115"/>
        <item h="1" m="1" x="85"/>
        <item h="1" m="1" x="74"/>
        <item h="1" m="1" x="156"/>
        <item h="1" m="1" x="104"/>
        <item h="1" m="1" x="167"/>
        <item h="1" m="1" x="87"/>
        <item h="1" m="1" x="110"/>
        <item h="1" m="1" x="36"/>
        <item h="1" m="1" x="131"/>
        <item h="1" m="1" x="9"/>
        <item h="1" m="1" x="145"/>
        <item h="1" m="1" x="146"/>
        <item h="1" m="1" x="149"/>
        <item h="1" m="1" x="38"/>
        <item h="1" m="1" x="16"/>
        <item h="1" m="1" x="21"/>
        <item h="1" m="1" x="139"/>
        <item h="1" m="1" x="39"/>
        <item h="1" m="1" x="63"/>
        <item h="1" m="1" x="67"/>
        <item h="1" m="1" x="24"/>
        <item h="1" m="1" x="106"/>
        <item h="1" m="1" x="119"/>
        <item h="1" m="1" x="66"/>
        <item h="1" m="1" x="19"/>
        <item h="1" m="1" x="28"/>
        <item h="1" m="1" x="121"/>
        <item h="1" m="1" x="56"/>
        <item h="1" m="1" x="89"/>
        <item h="1" m="1" x="108"/>
        <item h="1" m="1" x="154"/>
        <item h="1" m="1" x="29"/>
        <item h="1" m="1" x="153"/>
        <item h="1" m="1" x="130"/>
        <item h="1" m="1" x="51"/>
        <item h="1" m="1" x="143"/>
        <item h="1" m="1" x="52"/>
        <item h="1" m="1" x="40"/>
        <item h="1" m="1" x="160"/>
        <item h="1" m="1" x="68"/>
        <item h="1" m="1" x="82"/>
        <item h="1" m="1" x="79"/>
        <item h="1" m="1" x="150"/>
        <item h="1" m="1" x="117"/>
        <item h="1" m="1" x="163"/>
        <item h="1" m="1" x="18"/>
        <item h="1" m="1" x="107"/>
        <item h="1" x="6"/>
        <item h="1" m="1" x="15"/>
        <item h="1" m="1" x="88"/>
        <item h="1" m="1" x="165"/>
        <item h="1" m="1" x="54"/>
        <item h="1" m="1" x="35"/>
        <item h="1" m="1" x="144"/>
        <item h="1" m="1" x="10"/>
        <item h="1" m="1" x="62"/>
        <item h="1" m="1" x="25"/>
        <item h="1" m="1" x="91"/>
        <item h="1" m="1" x="112"/>
        <item h="1" m="1" x="61"/>
        <item h="1" m="1" x="14"/>
        <item h="1" m="1" x="132"/>
        <item h="1" m="1" x="136"/>
        <item h="1" m="1" x="64"/>
        <item h="1" m="1" x="77"/>
        <item h="1" m="1" x="135"/>
        <item h="1" m="1" x="27"/>
        <item h="1" m="1" x="134"/>
        <item h="1" m="1" x="109"/>
        <item h="1" m="1" x="141"/>
        <item h="1" m="1" x="73"/>
        <item h="1" m="1" x="26"/>
        <item h="1" m="1" x="69"/>
        <item h="1" m="1" x="20"/>
        <item h="1" m="1" x="75"/>
        <item h="1" x="7"/>
        <item h="1" m="1" x="95"/>
        <item h="1" m="1" x="50"/>
        <item h="1" m="1" x="122"/>
        <item h="1" m="1" x="83"/>
        <item h="1" m="1" x="138"/>
        <item h="1" m="1" x="47"/>
        <item h="1" m="1" x="142"/>
        <item h="1" m="1" x="166"/>
        <item h="1" m="1" x="162"/>
        <item h="1" m="1" x="103"/>
        <item h="1" m="1" x="97"/>
        <item h="1" m="1" x="101"/>
        <item h="1" m="1" x="76"/>
        <item h="1" m="1" x="126"/>
        <item h="1" m="1" x="12"/>
        <item h="1" m="1" x="159"/>
        <item h="1" m="1" x="60"/>
        <item h="1" m="1" x="70"/>
        <item h="1" m="1" x="72"/>
        <item h="1" m="1" x="111"/>
        <item h="1" m="1" x="148"/>
        <item h="1" m="1" x="48"/>
        <item h="1" m="1" x="120"/>
        <item h="1" m="1" x="152"/>
        <item h="1" m="1" x="140"/>
        <item h="1" m="1" x="30"/>
        <item h="1" m="1" x="37"/>
        <item h="1" m="1" x="81"/>
        <item h="1" m="1" x="13"/>
        <item h="1" m="1" x="46"/>
        <item h="1" m="1" x="41"/>
        <item h="1" m="1" x="116"/>
        <item h="1" m="1" x="84"/>
        <item h="1" m="1" x="92"/>
        <item h="1" m="1" x="113"/>
        <item h="1" m="1" x="155"/>
        <item h="1" m="1" x="34"/>
        <item h="1" m="1" x="44"/>
        <item h="1" m="1" x="99"/>
        <item h="1" m="1" x="125"/>
        <item h="1" m="1" x="133"/>
        <item h="1" m="1" x="42"/>
        <item h="1" m="1" x="105"/>
        <item h="1" m="1" x="22"/>
        <item h="1" x="1"/>
        <item h="1" x="2"/>
        <item h="1" x="3"/>
        <item h="1" x="5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188">
        <item m="1" x="166"/>
        <item m="1" x="106"/>
        <item m="1" x="59"/>
        <item m="1" x="71"/>
        <item m="1" x="82"/>
        <item m="1" x="157"/>
        <item h="1" x="0"/>
        <item m="1" x="110"/>
        <item m="1" x="88"/>
        <item m="1" x="96"/>
        <item m="1" x="176"/>
        <item m="1" x="30"/>
        <item m="1" x="164"/>
        <item m="1" x="37"/>
        <item m="1" x="119"/>
        <item m="1" x="156"/>
        <item m="1" x="155"/>
        <item m="1" x="138"/>
        <item m="1" x="171"/>
        <item m="1" x="76"/>
        <item m="1" x="99"/>
        <item m="1" x="116"/>
        <item m="1" x="184"/>
        <item m="1" x="22"/>
        <item m="1" x="32"/>
        <item m="1" x="33"/>
        <item m="1" x="55"/>
        <item m="1" x="172"/>
        <item m="1" x="146"/>
        <item m="1" x="129"/>
        <item m="1" x="150"/>
        <item m="1" x="140"/>
        <item m="1" x="107"/>
        <item m="1" x="57"/>
        <item m="1" x="63"/>
        <item m="1" x="19"/>
        <item m="1" x="42"/>
        <item m="1" x="144"/>
        <item m="1" x="121"/>
        <item m="1" x="16"/>
        <item m="1" x="133"/>
        <item m="1" x="126"/>
        <item m="1" x="79"/>
        <item m="1" x="49"/>
        <item x="4"/>
        <item m="1" x="47"/>
        <item m="1" x="70"/>
        <item m="1" x="111"/>
        <item m="1" x="83"/>
        <item m="1" x="168"/>
        <item m="1" x="109"/>
        <item m="1" x="52"/>
        <item m="1" x="60"/>
        <item m="1" x="112"/>
        <item m="1" x="75"/>
        <item m="1" x="139"/>
        <item m="1" x="74"/>
        <item m="1" x="18"/>
        <item m="1" x="181"/>
        <item m="1" x="9"/>
        <item m="1" x="174"/>
        <item m="1" x="51"/>
        <item x="3"/>
        <item m="1" x="61"/>
        <item m="1" x="81"/>
        <item m="1" x="44"/>
        <item m="1" x="89"/>
        <item m="1" x="118"/>
        <item m="1" x="153"/>
        <item m="1" x="98"/>
        <item m="1" x="23"/>
        <item m="1" x="102"/>
        <item m="1" x="72"/>
        <item m="1" x="36"/>
        <item m="1" x="46"/>
        <item m="1" x="160"/>
        <item m="1" x="183"/>
        <item m="1" x="17"/>
        <item m="1" x="125"/>
        <item m="1" x="113"/>
        <item m="1" x="180"/>
        <item m="1" x="97"/>
        <item m="1" x="175"/>
        <item m="1" x="101"/>
        <item m="1" x="141"/>
        <item m="1" x="173"/>
        <item m="1" x="21"/>
        <item m="1" x="50"/>
        <item m="1" x="122"/>
        <item m="1" x="105"/>
        <item m="1" x="151"/>
        <item m="1" x="10"/>
        <item m="1" x="148"/>
        <item m="1" x="147"/>
        <item m="1" x="117"/>
        <item m="1" x="12"/>
        <item m="1" x="53"/>
        <item m="1" x="80"/>
        <item m="1" x="91"/>
        <item m="1" x="104"/>
        <item m="1" x="26"/>
        <item m="1" x="108"/>
        <item m="1" x="128"/>
        <item m="1" x="185"/>
        <item m="1" x="28"/>
        <item m="1" x="143"/>
        <item m="1" x="40"/>
        <item m="1" x="11"/>
        <item m="1" x="27"/>
        <item m="1" x="58"/>
        <item m="1" x="142"/>
        <item m="1" x="179"/>
        <item m="1" x="165"/>
        <item m="1" x="169"/>
        <item m="1" x="161"/>
        <item m="1" x="132"/>
        <item m="1" x="20"/>
        <item m="1" x="38"/>
        <item m="1" x="13"/>
        <item m="1" x="39"/>
        <item m="1" x="86"/>
        <item m="1" x="14"/>
        <item m="1" x="48"/>
        <item m="1" x="163"/>
        <item m="1" x="41"/>
        <item m="1" x="78"/>
        <item m="1" x="114"/>
        <item m="1" x="182"/>
        <item m="1" x="43"/>
        <item m="1" x="120"/>
        <item m="1" x="68"/>
        <item m="1" x="131"/>
        <item m="1" x="24"/>
        <item m="1" x="170"/>
        <item m="1" x="115"/>
        <item m="1" x="56"/>
        <item m="1" x="85"/>
        <item m="1" x="69"/>
        <item m="1" x="73"/>
        <item m="1" x="137"/>
        <item m="1" x="93"/>
        <item m="1" x="152"/>
        <item m="1" x="154"/>
        <item m="1" x="94"/>
        <item m="1" x="136"/>
        <item m="1" x="149"/>
        <item m="1" x="178"/>
        <item m="1" x="92"/>
        <item m="1" x="65"/>
        <item m="1" x="35"/>
        <item m="1" x="64"/>
        <item m="1" x="186"/>
        <item m="1" x="127"/>
        <item m="1" x="25"/>
        <item m="1" x="167"/>
        <item m="1" x="130"/>
        <item m="1" x="95"/>
        <item m="1" x="45"/>
        <item m="1" x="29"/>
        <item m="1" x="87"/>
        <item m="1" x="84"/>
        <item m="1" x="158"/>
        <item m="1" x="31"/>
        <item m="1" x="162"/>
        <item m="1" x="77"/>
        <item m="1" x="134"/>
        <item m="1" x="54"/>
        <item m="1" x="66"/>
        <item m="1" x="100"/>
        <item m="1" x="34"/>
        <item m="1" x="159"/>
        <item m="1" x="90"/>
        <item m="1" x="15"/>
        <item m="1" x="124"/>
        <item m="1" x="135"/>
        <item m="1" x="103"/>
        <item m="1" x="145"/>
        <item m="1" x="62"/>
        <item x="1"/>
        <item m="1" x="67"/>
        <item m="1" x="177"/>
        <item m="1" x="123"/>
        <item x="2"/>
        <item x="5"/>
        <item x="7"/>
        <item x="8"/>
        <item x="6"/>
        <item t="default"/>
      </items>
    </pivotField>
    <pivotField compact="0" outline="0" showAll="0"/>
    <pivotField compact="0" outline="0" showAll="0"/>
  </pivotFields>
  <rowFields count="3">
    <field x="0"/>
    <field x="1"/>
    <field x="6"/>
  </rowFields>
  <rowItems count="9">
    <i>
      <x v="1"/>
      <x v="9"/>
      <x v="178"/>
    </i>
    <i>
      <x v="6"/>
      <x v="14"/>
      <x v="182"/>
    </i>
    <i>
      <x v="11"/>
      <x/>
      <x v="62"/>
    </i>
    <i>
      <x v="15"/>
      <x v="19"/>
      <x v="44"/>
    </i>
    <i>
      <x v="16"/>
      <x v="20"/>
      <x v="183"/>
    </i>
    <i>
      <x v="17"/>
      <x v="5"/>
      <x v="186"/>
    </i>
    <i>
      <x v="19"/>
      <x v="7"/>
      <x v="184"/>
    </i>
    <i>
      <x v="22"/>
      <x v="21"/>
      <x v="185"/>
    </i>
    <i t="grand">
      <x/>
    </i>
  </rowItems>
  <colItems count="1">
    <i/>
  </colItems>
  <formats count="24">
    <format dxfId="420">
      <pivotArea field="1" type="button" dataOnly="0" labelOnly="1" outline="0" axis="axisRow" fieldPosition="1"/>
    </format>
    <format dxfId="419">
      <pivotArea field="2" type="button" dataOnly="0" labelOnly="1" outline="0"/>
    </format>
    <format dxfId="418">
      <pivotArea field="1" type="button" dataOnly="0" labelOnly="1" outline="0" axis="axisRow" fieldPosition="1"/>
    </format>
    <format dxfId="417">
      <pivotArea field="2" type="button" dataOnly="0" labelOnly="1" outline="0"/>
    </format>
    <format dxfId="416">
      <pivotArea field="1" type="button" dataOnly="0" labelOnly="1" outline="0" axis="axisRow" fieldPosition="1"/>
    </format>
    <format dxfId="415">
      <pivotArea field="2" type="button" dataOnly="0" labelOnly="1" outline="0"/>
    </format>
    <format dxfId="414">
      <pivotArea type="all" dataOnly="0" outline="0" fieldPosition="0"/>
    </format>
    <format dxfId="413">
      <pivotArea field="1" type="button" dataOnly="0" labelOnly="1" outline="0" axis="axisRow" fieldPosition="1"/>
    </format>
    <format dxfId="412">
      <pivotArea field="2" type="button" dataOnly="0" labelOnly="1" outline="0"/>
    </format>
    <format dxfId="411">
      <pivotArea dataOnly="0" labelOnly="1" outline="0" fieldPosition="0">
        <references count="1">
          <reference field="1" count="0"/>
        </references>
      </pivotArea>
    </format>
    <format dxfId="410">
      <pivotArea dataOnly="0" labelOnly="1" grandRow="1" outline="0" fieldPosition="0"/>
    </format>
    <format dxfId="409">
      <pivotArea field="0" type="button" dataOnly="0" labelOnly="1" outline="0" axis="axisRow" fieldPosition="0"/>
    </format>
    <format dxfId="408">
      <pivotArea dataOnly="0" labelOnly="1" outline="0" fieldPosition="0">
        <references count="1">
          <reference field="0" count="9">
            <x v="2"/>
            <x v="4"/>
            <x v="5"/>
            <x v="8"/>
            <x v="13"/>
            <x v="15"/>
            <x v="16"/>
            <x v="18"/>
            <x v="23"/>
          </reference>
        </references>
      </pivotArea>
    </format>
    <format dxfId="407">
      <pivotArea field="6" type="button" dataOnly="0" labelOnly="1" outline="0" axis="axisRow" fieldPosition="2"/>
    </format>
    <format dxfId="406">
      <pivotArea dataOnly="0" labelOnly="1" grandRow="1" outline="0" fieldPosition="0"/>
    </format>
    <format dxfId="40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5"/>
          </reference>
          <reference field="6" count="1">
            <x v="4"/>
          </reference>
        </references>
      </pivotArea>
    </format>
    <format dxfId="404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6" count="1">
            <x v="3"/>
          </reference>
        </references>
      </pivotArea>
    </format>
    <format dxfId="403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12"/>
          </reference>
          <reference field="6" count="1">
            <x v="0"/>
          </reference>
        </references>
      </pivotArea>
    </format>
    <format dxfId="402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7"/>
          </reference>
          <reference field="6" count="1">
            <x v="0"/>
          </reference>
        </references>
      </pivotArea>
    </format>
    <format dxfId="401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0"/>
          </reference>
          <reference field="6" count="1">
            <x v="5"/>
          </reference>
        </references>
      </pivotArea>
    </format>
    <format dxfId="400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"/>
          </reference>
          <reference field="6" count="1">
            <x v="2"/>
          </reference>
        </references>
      </pivotArea>
    </format>
    <format dxfId="399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22"/>
          </reference>
          <reference field="6" count="1">
            <x v="0"/>
          </reference>
        </references>
      </pivotArea>
    </format>
    <format dxfId="398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23"/>
          </reference>
          <reference field="6" count="1">
            <x v="1"/>
          </reference>
        </references>
      </pivotArea>
    </format>
    <format dxfId="397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0"/>
          </reference>
          <reference field="6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100-000008000000}" name="TablaDinámica55" cacheId="2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B59:D68" firstHeaderRow="1" firstDataRow="1" firstDataCol="3"/>
  <pivotFields count="9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compact="0" outline="0" showAll="0">
      <items count="181">
        <item m="1" x="164"/>
        <item m="1" x="116"/>
        <item m="1" x="170"/>
        <item m="1" x="36"/>
        <item m="1" x="157"/>
        <item m="1" x="175"/>
        <item m="1" x="114"/>
        <item m="1" x="179"/>
        <item h="1" x="0"/>
        <item h="1" m="1" x="28"/>
        <item h="1" m="1" x="64"/>
        <item h="1" x="5"/>
        <item h="1" m="1" x="56"/>
        <item h="1" m="1" x="73"/>
        <item h="1" m="1" x="89"/>
        <item h="1" m="1" x="124"/>
        <item h="1" m="1" x="33"/>
        <item h="1" m="1" x="178"/>
        <item h="1" m="1" x="70"/>
        <item h="1" m="1" x="137"/>
        <item h="1" m="1" x="21"/>
        <item h="1" m="1" x="134"/>
        <item h="1" m="1" x="167"/>
        <item h="1" m="1" x="55"/>
        <item h="1" m="1" x="61"/>
        <item h="1" m="1" x="104"/>
        <item h="1" m="1" x="165"/>
        <item h="1" m="1" x="144"/>
        <item h="1" m="1" x="68"/>
        <item h="1" m="1" x="152"/>
        <item h="1" m="1" x="163"/>
        <item h="1" m="1" x="84"/>
        <item h="1" m="1" x="109"/>
        <item h="1" m="1" x="145"/>
        <item h="1" m="1" x="112"/>
        <item h="1" m="1" x="27"/>
        <item h="1" m="1" x="60"/>
        <item h="1" m="1" x="81"/>
        <item h="1" m="1" x="29"/>
        <item h="1" m="1" x="24"/>
        <item h="1" m="1" x="65"/>
        <item h="1" m="1" x="169"/>
        <item h="1" m="1" x="17"/>
        <item h="1" m="1" x="13"/>
        <item h="1" m="1" x="14"/>
        <item h="1" m="1" x="31"/>
        <item h="1" m="1" x="129"/>
        <item h="1" m="1" x="119"/>
        <item h="1" m="1" x="172"/>
        <item h="1" m="1" x="111"/>
        <item h="1" m="1" x="58"/>
        <item h="1" m="1" x="136"/>
        <item h="1" m="1" x="76"/>
        <item h="1" m="1" x="79"/>
        <item h="1" m="1" x="125"/>
        <item h="1" m="1" x="66"/>
        <item h="1" m="1" x="95"/>
        <item h="1" m="1" x="103"/>
        <item h="1" m="1" x="100"/>
        <item h="1" m="1" x="141"/>
        <item h="1" m="1" x="74"/>
        <item h="1" m="1" x="115"/>
        <item h="1" m="1" x="117"/>
        <item h="1" m="1" x="99"/>
        <item h="1" m="1" x="105"/>
        <item h="1" m="1" x="23"/>
        <item h="1" m="1" x="147"/>
        <item h="1" m="1" x="160"/>
        <item h="1" m="1" x="34"/>
        <item h="1" m="1" x="42"/>
        <item h="1" m="1" x="143"/>
        <item h="1" m="1" x="78"/>
        <item h="1" m="1" x="35"/>
        <item h="1" m="1" x="161"/>
        <item h="1" m="1" x="80"/>
        <item h="1" m="1" x="38"/>
        <item h="1" m="1" x="102"/>
        <item h="1" m="1" x="39"/>
        <item h="1" m="1" x="87"/>
        <item h="1" m="1" x="77"/>
        <item h="1" m="1" x="32"/>
        <item h="1" m="1" x="131"/>
        <item h="1" m="1" x="54"/>
        <item h="1" m="1" x="142"/>
        <item h="1" m="1" x="82"/>
        <item h="1" m="1" x="94"/>
        <item h="1" m="1" x="97"/>
        <item h="1" m="1" x="59"/>
        <item h="1" m="1" x="108"/>
        <item h="1" m="1" x="101"/>
        <item h="1" m="1" x="85"/>
        <item h="1" m="1" x="166"/>
        <item h="1" m="1" x="53"/>
        <item h="1" m="1" x="51"/>
        <item h="1" m="1" x="107"/>
        <item h="1" m="1" x="48"/>
        <item h="1" m="1" x="45"/>
        <item h="1" m="1" x="148"/>
        <item h="1" m="1" x="63"/>
        <item h="1" m="1" x="149"/>
        <item h="1" m="1" x="121"/>
        <item h="1" m="1" x="171"/>
        <item h="1" m="1" x="72"/>
        <item h="1" m="1" x="57"/>
        <item h="1" m="1" x="15"/>
        <item h="1" m="1" x="156"/>
        <item h="1" m="1" x="67"/>
        <item h="1" m="1" x="168"/>
        <item h="1" m="1" x="96"/>
        <item h="1" m="1" x="75"/>
        <item h="1" m="1" x="43"/>
        <item h="1" m="1" x="26"/>
        <item h="1" m="1" x="50"/>
        <item h="1" m="1" x="154"/>
        <item h="1" m="1" x="173"/>
        <item h="1" m="1" x="16"/>
        <item h="1" m="1" x="12"/>
        <item h="1" m="1" x="93"/>
        <item h="1" m="1" x="162"/>
        <item h="1" m="1" x="52"/>
        <item h="1" m="1" x="126"/>
        <item h="1" m="1" x="62"/>
        <item h="1" m="1" x="123"/>
        <item h="1" m="1" x="71"/>
        <item h="1" m="1" x="88"/>
        <item h="1" m="1" x="47"/>
        <item h="1" m="1" x="18"/>
        <item h="1" m="1" x="120"/>
        <item h="1" m="1" x="151"/>
        <item h="1" m="1" x="30"/>
        <item h="1" m="1" x="91"/>
        <item h="1" m="1" x="98"/>
        <item h="1" m="1" x="83"/>
        <item h="1" m="1" x="139"/>
        <item h="1" m="1" x="130"/>
        <item h="1" m="1" x="133"/>
        <item h="1" m="1" x="86"/>
        <item h="1" m="1" x="177"/>
        <item h="1" m="1" x="176"/>
        <item h="1" m="1" x="128"/>
        <item h="1" m="1" x="132"/>
        <item h="1" m="1" x="41"/>
        <item h="1" m="1" x="20"/>
        <item h="1" m="1" x="44"/>
        <item h="1" m="1" x="49"/>
        <item h="1" m="1" x="135"/>
        <item h="1" m="1" x="46"/>
        <item h="1" m="1" x="106"/>
        <item h="1" m="1" x="118"/>
        <item h="1" m="1" x="37"/>
        <item h="1" m="1" x="22"/>
        <item h="1" m="1" x="90"/>
        <item h="1" m="1" x="92"/>
        <item h="1" m="1" x="122"/>
        <item h="1" m="1" x="153"/>
        <item h="1" m="1" x="40"/>
        <item h="1" m="1" x="146"/>
        <item h="1" m="1" x="174"/>
        <item h="1" m="1" x="127"/>
        <item h="1" m="1" x="25"/>
        <item h="1" m="1" x="11"/>
        <item h="1" m="1" x="159"/>
        <item h="1" m="1" x="158"/>
        <item h="1" m="1" x="140"/>
        <item h="1" m="1" x="19"/>
        <item h="1" m="1" x="110"/>
        <item h="1" x="2"/>
        <item h="1" m="1" x="69"/>
        <item h="1" m="1" x="150"/>
        <item h="1" m="1" x="113"/>
        <item h="1" m="1" x="155"/>
        <item h="1" m="1" x="138"/>
        <item h="1" x="1"/>
        <item h="1" x="3"/>
        <item h="1" x="4"/>
        <item h="1" x="6"/>
        <item h="1" x="7"/>
        <item h="1" x="8"/>
        <item h="1" x="9"/>
        <item h="1" x="10"/>
        <item t="default"/>
      </items>
    </pivotField>
    <pivotField compact="0" outline="0" showAll="0"/>
    <pivotField axis="axisRow" compact="0" outline="0" showAll="0">
      <items count="181">
        <item m="1" x="57"/>
        <item m="1" x="141"/>
        <item m="1" x="176"/>
        <item m="1" x="61"/>
        <item m="1" x="130"/>
        <item m="1" x="94"/>
        <item h="1" x="0"/>
        <item m="1" x="33"/>
        <item m="1" x="68"/>
        <item m="1" x="125"/>
        <item m="1" x="96"/>
        <item m="1" x="46"/>
        <item m="1" x="39"/>
        <item m="1" x="14"/>
        <item m="1" x="18"/>
        <item m="1" x="128"/>
        <item x="7"/>
        <item m="1" x="63"/>
        <item m="1" x="165"/>
        <item m="1" x="173"/>
        <item m="1" x="156"/>
        <item m="1" x="148"/>
        <item m="1" x="131"/>
        <item m="1" x="70"/>
        <item m="1" x="127"/>
        <item m="1" x="27"/>
        <item m="1" x="75"/>
        <item m="1" x="120"/>
        <item m="1" x="106"/>
        <item m="1" x="149"/>
        <item m="1" x="76"/>
        <item m="1" x="77"/>
        <item m="1" x="90"/>
        <item m="1" x="105"/>
        <item m="1" x="98"/>
        <item m="1" x="132"/>
        <item m="1" x="54"/>
        <item m="1" x="170"/>
        <item m="1" x="167"/>
        <item m="1" x="137"/>
        <item m="1" x="138"/>
        <item m="1" x="67"/>
        <item m="1" x="31"/>
        <item m="1" x="109"/>
        <item m="1" x="111"/>
        <item m="1" x="97"/>
        <item m="1" x="101"/>
        <item m="1" x="21"/>
        <item m="1" x="144"/>
        <item m="1" x="161"/>
        <item m="1" x="32"/>
        <item m="1" x="115"/>
        <item m="1" x="140"/>
        <item m="1" x="107"/>
        <item m="1" x="74"/>
        <item m="1" x="28"/>
        <item m="1" x="126"/>
        <item m="1" x="65"/>
        <item m="1" x="84"/>
        <item x="3"/>
        <item m="1" x="35"/>
        <item m="1" x="99"/>
        <item m="1" x="36"/>
        <item m="1" x="82"/>
        <item m="1" x="34"/>
        <item m="1" x="11"/>
        <item m="1" x="73"/>
        <item m="1" x="66"/>
        <item m="1" x="30"/>
        <item m="1" x="124"/>
        <item m="1" x="114"/>
        <item m="1" x="171"/>
        <item m="1" x="47"/>
        <item m="1" x="139"/>
        <item m="1" x="79"/>
        <item m="1" x="134"/>
        <item m="1" x="88"/>
        <item m="1" x="48"/>
        <item m="1" x="93"/>
        <item m="1" x="53"/>
        <item m="1" x="104"/>
        <item m="1" x="162"/>
        <item m="1" x="164"/>
        <item m="1" x="81"/>
        <item m="1" x="169"/>
        <item m="1" x="26"/>
        <item m="1" x="49"/>
        <item m="1" x="38"/>
        <item m="1" x="56"/>
        <item m="1" x="119"/>
        <item m="1" x="40"/>
        <item m="1" x="110"/>
        <item m="1" x="83"/>
        <item x="8"/>
        <item m="1" x="145"/>
        <item m="1" x="108"/>
        <item m="1" x="123"/>
        <item m="1" x="147"/>
        <item m="1" x="116"/>
        <item m="1" x="172"/>
        <item m="1" x="168"/>
        <item m="1" x="50"/>
        <item m="1" x="16"/>
        <item m="1" x="155"/>
        <item m="1" x="100"/>
        <item m="1" x="62"/>
        <item m="1" x="80"/>
        <item m="1" x="122"/>
        <item m="1" x="52"/>
        <item m="1" x="166"/>
        <item m="1" x="91"/>
        <item x="4"/>
        <item m="1" x="25"/>
        <item m="1" x="23"/>
        <item m="1" x="37"/>
        <item m="1" x="13"/>
        <item m="1" x="78"/>
        <item m="1" x="22"/>
        <item m="1" x="44"/>
        <item m="1" x="103"/>
        <item m="1" x="121"/>
        <item m="1" x="64"/>
        <item m="1" x="150"/>
        <item m="1" x="92"/>
        <item m="1" x="112"/>
        <item m="1" x="118"/>
        <item m="1" x="72"/>
        <item m="1" x="42"/>
        <item m="1" x="146"/>
        <item m="1" x="135"/>
        <item m="1" x="129"/>
        <item m="1" x="55"/>
        <item m="1" x="177"/>
        <item m="1" x="69"/>
        <item m="1" x="58"/>
        <item m="1" x="12"/>
        <item m="1" x="113"/>
        <item m="1" x="142"/>
        <item m="1" x="20"/>
        <item m="1" x="85"/>
        <item m="1" x="86"/>
        <item m="1" x="117"/>
        <item m="1" x="151"/>
        <item m="1" x="41"/>
        <item m="1" x="59"/>
        <item m="1" x="71"/>
        <item m="1" x="143"/>
        <item m="1" x="175"/>
        <item m="1" x="9"/>
        <item m="1" x="160"/>
        <item m="1" x="15"/>
        <item m="1" x="157"/>
        <item m="1" x="136"/>
        <item m="1" x="17"/>
        <item m="1" x="19"/>
        <item m="1" x="179"/>
        <item m="1" x="29"/>
        <item m="1" x="24"/>
        <item m="1" x="43"/>
        <item m="1" x="153"/>
        <item m="1" x="60"/>
        <item m="1" x="174"/>
        <item m="1" x="10"/>
        <item m="1" x="159"/>
        <item m="1" x="87"/>
        <item m="1" x="163"/>
        <item m="1" x="45"/>
        <item m="1" x="133"/>
        <item m="1" x="102"/>
        <item m="1" x="178"/>
        <item m="1" x="89"/>
        <item m="1" x="158"/>
        <item x="2"/>
        <item m="1" x="154"/>
        <item m="1" x="152"/>
        <item m="1" x="95"/>
        <item m="1" x="51"/>
        <item x="1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3">
    <field x="0"/>
    <field x="1"/>
    <field x="4"/>
  </rowFields>
  <rowItems count="9">
    <i>
      <x v="2"/>
      <x v="15"/>
      <x v="177"/>
    </i>
    <i>
      <x v="6"/>
      <x v="14"/>
      <x v="172"/>
    </i>
    <i>
      <x v="7"/>
      <x v="12"/>
      <x v="59"/>
    </i>
    <i>
      <x v="11"/>
      <x/>
      <x v="111"/>
    </i>
    <i>
      <x v="16"/>
      <x v="20"/>
      <x v="178"/>
    </i>
    <i>
      <x v="17"/>
      <x v="5"/>
      <x v="179"/>
    </i>
    <i>
      <x v="22"/>
      <x v="21"/>
      <x v="16"/>
    </i>
    <i>
      <x v="23"/>
      <x v="22"/>
      <x v="93"/>
    </i>
    <i t="grand">
      <x/>
    </i>
  </rowItems>
  <colItems count="1">
    <i/>
  </colItems>
  <formats count="26">
    <format dxfId="446">
      <pivotArea field="1" type="button" dataOnly="0" labelOnly="1" outline="0" axis="axisRow" fieldPosition="1"/>
    </format>
    <format dxfId="445">
      <pivotArea field="2" type="button" dataOnly="0" labelOnly="1" outline="0"/>
    </format>
    <format dxfId="444">
      <pivotArea field="1" type="button" dataOnly="0" labelOnly="1" outline="0" axis="axisRow" fieldPosition="1"/>
    </format>
    <format dxfId="443">
      <pivotArea field="2" type="button" dataOnly="0" labelOnly="1" outline="0"/>
    </format>
    <format dxfId="442">
      <pivotArea field="1" type="button" dataOnly="0" labelOnly="1" outline="0" axis="axisRow" fieldPosition="1"/>
    </format>
    <format dxfId="441">
      <pivotArea field="2" type="button" dataOnly="0" labelOnly="1" outline="0"/>
    </format>
    <format dxfId="440">
      <pivotArea type="all" dataOnly="0" outline="0" fieldPosition="0"/>
    </format>
    <format dxfId="439">
      <pivotArea field="1" type="button" dataOnly="0" labelOnly="1" outline="0" axis="axisRow" fieldPosition="1"/>
    </format>
    <format dxfId="438">
      <pivotArea field="2" type="button" dataOnly="0" labelOnly="1" outline="0"/>
    </format>
    <format dxfId="437">
      <pivotArea dataOnly="0" labelOnly="1" outline="0" fieldPosition="0">
        <references count="1">
          <reference field="1" count="0"/>
        </references>
      </pivotArea>
    </format>
    <format dxfId="436">
      <pivotArea dataOnly="0" labelOnly="1" grandRow="1" outline="0" fieldPosition="0"/>
    </format>
    <format dxfId="435">
      <pivotArea field="0" type="button" dataOnly="0" labelOnly="1" outline="0" axis="axisRow" fieldPosition="0"/>
    </format>
    <format dxfId="434">
      <pivotArea dataOnly="0" labelOnly="1" outline="0" fieldPosition="0">
        <references count="1">
          <reference field="0" count="9">
            <x v="2"/>
            <x v="4"/>
            <x v="5"/>
            <x v="8"/>
            <x v="13"/>
            <x v="15"/>
            <x v="16"/>
            <x v="18"/>
            <x v="23"/>
          </reference>
        </references>
      </pivotArea>
    </format>
    <format dxfId="433">
      <pivotArea field="4" type="button" dataOnly="0" labelOnly="1" outline="0" axis="axisRow" fieldPosition="2"/>
    </format>
    <format dxfId="432">
      <pivotArea dataOnly="0" labelOnly="1" grandRow="1" outline="0" fieldPosition="0"/>
    </format>
    <format dxfId="431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12"/>
          </reference>
          <reference field="4" count="1">
            <x v="3"/>
          </reference>
        </references>
      </pivotArea>
    </format>
    <format dxfId="430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7"/>
          </reference>
          <reference field="4" count="1">
            <x v="5"/>
          </reference>
        </references>
      </pivotArea>
    </format>
    <format dxfId="429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"/>
          </reference>
          <reference field="4" count="1">
            <x v="4"/>
          </reference>
        </references>
      </pivotArea>
    </format>
    <format dxfId="428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4" count="1">
            <x v="103"/>
          </reference>
        </references>
      </pivotArea>
    </format>
    <format dxfId="427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3"/>
          </reference>
          <reference field="4" count="1">
            <x v="28"/>
          </reference>
        </references>
      </pivotArea>
    </format>
    <format dxfId="426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7"/>
          </reference>
          <reference field="4" count="1">
            <x v="104"/>
          </reference>
        </references>
      </pivotArea>
    </format>
    <format dxfId="425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4"/>
          </reference>
          <reference field="4" count="1">
            <x v="38"/>
          </reference>
        </references>
      </pivotArea>
    </format>
    <format dxfId="424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0"/>
          </reference>
          <reference field="4" count="1">
            <x v="1"/>
          </reference>
        </references>
      </pivotArea>
    </format>
    <format dxfId="423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"/>
          </reference>
          <reference field="4" count="1">
            <x v="105"/>
          </reference>
        </references>
      </pivotArea>
    </format>
    <format dxfId="422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4"/>
          </reference>
          <reference field="4" count="1">
            <x v="2"/>
          </reference>
        </references>
      </pivotArea>
    </format>
    <format dxfId="421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100-000005000000}" name="TablaDinámica52" cacheId="2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B31:D38" firstHeaderRow="1" firstDataRow="1" firstDataCol="3"/>
  <pivotFields count="9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compact="0" outline="0" showAll="0">
      <items count="181">
        <item m="1" x="164"/>
        <item m="1" x="116"/>
        <item m="1" x="170"/>
        <item m="1" x="36"/>
        <item m="1" x="157"/>
        <item m="1" x="175"/>
        <item m="1" x="114"/>
        <item m="1" x="179"/>
        <item h="1" x="0"/>
        <item h="1" m="1" x="28"/>
        <item h="1" m="1" x="64"/>
        <item h="1" x="5"/>
        <item h="1" m="1" x="56"/>
        <item h="1" m="1" x="73"/>
        <item h="1" m="1" x="89"/>
        <item h="1" m="1" x="124"/>
        <item h="1" m="1" x="33"/>
        <item h="1" m="1" x="178"/>
        <item h="1" m="1" x="70"/>
        <item h="1" m="1" x="137"/>
        <item h="1" m="1" x="21"/>
        <item h="1" m="1" x="134"/>
        <item h="1" m="1" x="167"/>
        <item h="1" m="1" x="55"/>
        <item h="1" m="1" x="61"/>
        <item h="1" m="1" x="104"/>
        <item h="1" m="1" x="165"/>
        <item h="1" m="1" x="144"/>
        <item h="1" m="1" x="68"/>
        <item h="1" m="1" x="152"/>
        <item h="1" m="1" x="163"/>
        <item h="1" m="1" x="84"/>
        <item h="1" m="1" x="109"/>
        <item h="1" m="1" x="145"/>
        <item h="1" m="1" x="112"/>
        <item h="1" m="1" x="27"/>
        <item h="1" m="1" x="60"/>
        <item h="1" m="1" x="81"/>
        <item h="1" m="1" x="29"/>
        <item h="1" m="1" x="24"/>
        <item h="1" m="1" x="65"/>
        <item h="1" m="1" x="169"/>
        <item h="1" m="1" x="17"/>
        <item h="1" m="1" x="13"/>
        <item h="1" m="1" x="14"/>
        <item h="1" m="1" x="31"/>
        <item h="1" m="1" x="129"/>
        <item h="1" m="1" x="119"/>
        <item h="1" m="1" x="172"/>
        <item h="1" m="1" x="111"/>
        <item h="1" m="1" x="58"/>
        <item h="1" m="1" x="136"/>
        <item h="1" m="1" x="76"/>
        <item h="1" m="1" x="79"/>
        <item h="1" m="1" x="125"/>
        <item h="1" m="1" x="66"/>
        <item h="1" m="1" x="95"/>
        <item h="1" m="1" x="103"/>
        <item h="1" m="1" x="100"/>
        <item h="1" m="1" x="141"/>
        <item h="1" m="1" x="74"/>
        <item h="1" m="1" x="115"/>
        <item h="1" m="1" x="117"/>
        <item h="1" m="1" x="99"/>
        <item h="1" m="1" x="105"/>
        <item h="1" m="1" x="23"/>
        <item h="1" m="1" x="147"/>
        <item h="1" m="1" x="160"/>
        <item h="1" m="1" x="34"/>
        <item h="1" m="1" x="42"/>
        <item h="1" m="1" x="143"/>
        <item h="1" m="1" x="78"/>
        <item h="1" m="1" x="35"/>
        <item h="1" m="1" x="161"/>
        <item h="1" m="1" x="80"/>
        <item h="1" m="1" x="38"/>
        <item h="1" m="1" x="102"/>
        <item h="1" m="1" x="39"/>
        <item h="1" m="1" x="87"/>
        <item h="1" m="1" x="77"/>
        <item h="1" m="1" x="32"/>
        <item h="1" m="1" x="131"/>
        <item h="1" m="1" x="54"/>
        <item h="1" m="1" x="142"/>
        <item h="1" m="1" x="82"/>
        <item h="1" m="1" x="94"/>
        <item h="1" m="1" x="97"/>
        <item h="1" m="1" x="59"/>
        <item h="1" m="1" x="108"/>
        <item h="1" m="1" x="101"/>
        <item h="1" m="1" x="85"/>
        <item h="1" m="1" x="166"/>
        <item h="1" m="1" x="53"/>
        <item h="1" m="1" x="51"/>
        <item h="1" m="1" x="107"/>
        <item h="1" m="1" x="48"/>
        <item h="1" m="1" x="45"/>
        <item h="1" m="1" x="148"/>
        <item h="1" m="1" x="63"/>
        <item h="1" m="1" x="149"/>
        <item h="1" m="1" x="121"/>
        <item h="1" m="1" x="171"/>
        <item h="1" m="1" x="72"/>
        <item h="1" m="1" x="57"/>
        <item h="1" m="1" x="15"/>
        <item h="1" m="1" x="156"/>
        <item h="1" m="1" x="67"/>
        <item h="1" m="1" x="168"/>
        <item h="1" m="1" x="96"/>
        <item h="1" m="1" x="75"/>
        <item h="1" m="1" x="43"/>
        <item h="1" m="1" x="26"/>
        <item h="1" m="1" x="50"/>
        <item h="1" m="1" x="154"/>
        <item h="1" m="1" x="173"/>
        <item h="1" m="1" x="16"/>
        <item h="1" m="1" x="12"/>
        <item h="1" m="1" x="93"/>
        <item h="1" m="1" x="162"/>
        <item h="1" m="1" x="52"/>
        <item h="1" m="1" x="126"/>
        <item h="1" m="1" x="62"/>
        <item h="1" m="1" x="123"/>
        <item h="1" m="1" x="71"/>
        <item h="1" m="1" x="88"/>
        <item h="1" m="1" x="47"/>
        <item h="1" m="1" x="18"/>
        <item h="1" m="1" x="120"/>
        <item h="1" m="1" x="151"/>
        <item h="1" m="1" x="30"/>
        <item h="1" m="1" x="91"/>
        <item h="1" m="1" x="98"/>
        <item h="1" m="1" x="83"/>
        <item h="1" m="1" x="139"/>
        <item h="1" m="1" x="130"/>
        <item h="1" m="1" x="133"/>
        <item h="1" m="1" x="86"/>
        <item h="1" m="1" x="177"/>
        <item h="1" m="1" x="176"/>
        <item h="1" m="1" x="128"/>
        <item h="1" m="1" x="132"/>
        <item h="1" m="1" x="41"/>
        <item h="1" m="1" x="20"/>
        <item h="1" m="1" x="44"/>
        <item h="1" m="1" x="49"/>
        <item h="1" m="1" x="135"/>
        <item h="1" m="1" x="46"/>
        <item h="1" m="1" x="106"/>
        <item h="1" m="1" x="118"/>
        <item h="1" m="1" x="37"/>
        <item h="1" m="1" x="22"/>
        <item h="1" m="1" x="90"/>
        <item h="1" m="1" x="92"/>
        <item h="1" m="1" x="122"/>
        <item h="1" m="1" x="153"/>
        <item h="1" m="1" x="40"/>
        <item h="1" m="1" x="146"/>
        <item h="1" m="1" x="174"/>
        <item h="1" m="1" x="127"/>
        <item h="1" m="1" x="25"/>
        <item h="1" m="1" x="11"/>
        <item h="1" m="1" x="159"/>
        <item h="1" m="1" x="158"/>
        <item h="1" m="1" x="140"/>
        <item h="1" m="1" x="19"/>
        <item h="1" m="1" x="110"/>
        <item h="1" x="2"/>
        <item h="1" m="1" x="69"/>
        <item h="1" m="1" x="150"/>
        <item h="1" m="1" x="113"/>
        <item h="1" m="1" x="155"/>
        <item h="1" m="1" x="138"/>
        <item h="1" x="1"/>
        <item h="1" x="3"/>
        <item h="1" x="4"/>
        <item h="1" x="6"/>
        <item h="1" x="7"/>
        <item h="1" x="8"/>
        <item h="1" x="9"/>
        <item h="1" x="10"/>
        <item t="default"/>
      </items>
    </pivotField>
    <pivotField axis="axisRow" compact="0" outline="0" showAll="0">
      <items count="173">
        <item m="1" x="58"/>
        <item m="1" x="61"/>
        <item m="1" x="90"/>
        <item m="1" x="9"/>
        <item m="1" x="62"/>
        <item m="1" x="75"/>
        <item m="1" x="57"/>
        <item h="1" x="0"/>
        <item x="4"/>
        <item m="1" x="155"/>
        <item m="1" x="14"/>
        <item m="1" x="24"/>
        <item m="1" x="64"/>
        <item m="1" x="7"/>
        <item m="1" x="102"/>
        <item m="1" x="48"/>
        <item m="1" x="129"/>
        <item m="1" x="113"/>
        <item m="1" x="55"/>
        <item m="1" x="79"/>
        <item m="1" x="25"/>
        <item m="1" x="103"/>
        <item m="1" x="72"/>
        <item m="1" x="119"/>
        <item m="1" x="116"/>
        <item m="1" x="23"/>
        <item m="1" x="108"/>
        <item m="1" x="124"/>
        <item m="1" x="71"/>
        <item m="1" x="22"/>
        <item m="1" x="68"/>
        <item m="1" x="10"/>
        <item m="1" x="30"/>
        <item m="1" x="126"/>
        <item m="1" x="112"/>
        <item m="1" x="28"/>
        <item m="1" x="164"/>
        <item m="1" x="150"/>
        <item m="1" x="141"/>
        <item m="1" x="128"/>
        <item m="1" x="76"/>
        <item m="1" x="118"/>
        <item m="1" x="146"/>
        <item m="1" x="66"/>
        <item m="1" x="91"/>
        <item m="1" x="98"/>
        <item m="1" x="100"/>
        <item m="1" x="69"/>
        <item m="1" x="106"/>
        <item m="1" x="109"/>
        <item m="1" x="99"/>
        <item m="1" x="19"/>
        <item m="1" x="140"/>
        <item m="1" x="154"/>
        <item m="1" x="29"/>
        <item m="1" x="157"/>
        <item m="1" x="38"/>
        <item m="1" x="135"/>
        <item m="1" x="104"/>
        <item m="1" x="31"/>
        <item m="1" x="130"/>
        <item m="1" x="125"/>
        <item m="1" x="65"/>
        <item m="1" x="67"/>
        <item m="1" x="89"/>
        <item m="1" x="78"/>
        <item m="1" x="34"/>
        <item m="1" x="97"/>
        <item m="1" x="35"/>
        <item m="1" x="86"/>
        <item m="1" x="33"/>
        <item m="1" x="74"/>
        <item m="1" x="27"/>
        <item m="1" x="122"/>
        <item m="1" x="159"/>
        <item m="1" x="162"/>
        <item m="1" x="50"/>
        <item m="1" x="134"/>
        <item m="1" x="81"/>
        <item m="1" x="96"/>
        <item m="1" x="85"/>
        <item m="1" x="158"/>
        <item m="1" x="123"/>
        <item m="1" x="52"/>
        <item m="1" x="39"/>
        <item m="1" x="56"/>
        <item m="1" x="40"/>
        <item m="1" x="117"/>
        <item m="1" x="41"/>
        <item m="1" x="107"/>
        <item m="1" x="87"/>
        <item m="1" x="49"/>
        <item m="1" x="142"/>
        <item m="1" x="105"/>
        <item m="1" x="121"/>
        <item m="1" x="144"/>
        <item m="1" x="149"/>
        <item m="1" x="8"/>
        <item m="1" x="137"/>
        <item m="1" x="13"/>
        <item m="1" x="132"/>
        <item m="1" x="161"/>
        <item m="1" x="170"/>
        <item m="1" x="152"/>
        <item m="1" x="156"/>
        <item m="1" x="53"/>
        <item m="1" x="136"/>
        <item m="1" x="139"/>
        <item m="1" x="94"/>
        <item m="1" x="83"/>
        <item m="1" x="115"/>
        <item m="1" x="165"/>
        <item m="1" x="45"/>
        <item m="1" x="143"/>
        <item m="1" x="145"/>
        <item m="1" x="51"/>
        <item m="1" x="54"/>
        <item m="1" x="59"/>
        <item m="1" x="168"/>
        <item m="1" x="93"/>
        <item m="1" x="167"/>
        <item m="1" x="133"/>
        <item m="1" x="101"/>
        <item m="1" x="37"/>
        <item m="1" x="15"/>
        <item m="1" x="84"/>
        <item m="1" x="46"/>
        <item m="1" x="43"/>
        <item m="1" x="127"/>
        <item m="1" x="110"/>
        <item m="1" x="138"/>
        <item m="1" x="18"/>
        <item m="1" x="11"/>
        <item m="1" x="114"/>
        <item m="1" x="147"/>
        <item m="1" x="163"/>
        <item m="1" x="171"/>
        <item m="1" x="73"/>
        <item m="1" x="60"/>
        <item m="1" x="166"/>
        <item m="1" x="120"/>
        <item m="1" x="21"/>
        <item m="1" x="36"/>
        <item m="1" x="153"/>
        <item m="1" x="12"/>
        <item m="1" x="17"/>
        <item m="1" x="169"/>
        <item m="1" x="26"/>
        <item m="1" x="70"/>
        <item m="1" x="148"/>
        <item m="1" x="20"/>
        <item m="1" x="42"/>
        <item m="1" x="111"/>
        <item m="1" x="88"/>
        <item m="1" x="95"/>
        <item m="1" x="80"/>
        <item m="1" x="16"/>
        <item m="1" x="47"/>
        <item m="1" x="77"/>
        <item m="1" x="160"/>
        <item m="1" x="151"/>
        <item m="1" x="63"/>
        <item m="1" x="44"/>
        <item m="1" x="131"/>
        <item m="1" x="92"/>
        <item m="1" x="82"/>
        <item m="1" x="32"/>
        <item x="1"/>
        <item x="2"/>
        <item x="3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0"/>
    <field x="1"/>
    <field x="3"/>
  </rowFields>
  <rowItems count="7">
    <i>
      <x v="6"/>
      <x v="14"/>
      <x v="167"/>
    </i>
    <i>
      <x v="7"/>
      <x v="12"/>
      <x v="168"/>
    </i>
    <i>
      <x v="9"/>
      <x v="26"/>
      <x v="169"/>
    </i>
    <i>
      <x v="11"/>
      <x/>
      <x v="8"/>
    </i>
    <i>
      <x v="16"/>
      <x v="20"/>
      <x v="170"/>
    </i>
    <i>
      <x v="17"/>
      <x v="5"/>
      <x v="171"/>
    </i>
    <i t="grand">
      <x/>
    </i>
  </rowItems>
  <colItems count="1">
    <i/>
  </colItems>
  <formats count="25">
    <format dxfId="471">
      <pivotArea field="1" type="button" dataOnly="0" labelOnly="1" outline="0" axis="axisRow" fieldPosition="1"/>
    </format>
    <format dxfId="470">
      <pivotArea field="2" type="button" dataOnly="0" labelOnly="1" outline="0"/>
    </format>
    <format dxfId="469">
      <pivotArea field="1" type="button" dataOnly="0" labelOnly="1" outline="0" axis="axisRow" fieldPosition="1"/>
    </format>
    <format dxfId="468">
      <pivotArea field="2" type="button" dataOnly="0" labelOnly="1" outline="0"/>
    </format>
    <format dxfId="467">
      <pivotArea field="1" type="button" dataOnly="0" labelOnly="1" outline="0" axis="axisRow" fieldPosition="1"/>
    </format>
    <format dxfId="466">
      <pivotArea field="2" type="button" dataOnly="0" labelOnly="1" outline="0"/>
    </format>
    <format dxfId="465">
      <pivotArea type="all" dataOnly="0" outline="0" fieldPosition="0"/>
    </format>
    <format dxfId="464">
      <pivotArea field="1" type="button" dataOnly="0" labelOnly="1" outline="0" axis="axisRow" fieldPosition="1"/>
    </format>
    <format dxfId="463">
      <pivotArea field="2" type="button" dataOnly="0" labelOnly="1" outline="0"/>
    </format>
    <format dxfId="462">
      <pivotArea dataOnly="0" labelOnly="1" outline="0" fieldPosition="0">
        <references count="1">
          <reference field="1" count="0"/>
        </references>
      </pivotArea>
    </format>
    <format dxfId="461">
      <pivotArea dataOnly="0" labelOnly="1" grandRow="1" outline="0" fieldPosition="0"/>
    </format>
    <format dxfId="460">
      <pivotArea field="0" type="button" dataOnly="0" labelOnly="1" outline="0" axis="axisRow" fieldPosition="0"/>
    </format>
    <format dxfId="459">
      <pivotArea dataOnly="0" labelOnly="1" outline="0" fieldPosition="0">
        <references count="1">
          <reference field="0" count="9">
            <x v="2"/>
            <x v="4"/>
            <x v="5"/>
            <x v="8"/>
            <x v="13"/>
            <x v="15"/>
            <x v="16"/>
            <x v="18"/>
            <x v="23"/>
          </reference>
        </references>
      </pivotArea>
    </format>
    <format dxfId="458">
      <pivotArea field="3" type="button" dataOnly="0" labelOnly="1" outline="0" axis="axisRow" fieldPosition="2"/>
    </format>
    <format dxfId="457">
      <pivotArea dataOnly="0" labelOnly="1" grandRow="1" outline="0" fieldPosition="0"/>
    </format>
    <format dxfId="45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"/>
          </reference>
          <reference field="3" count="1">
            <x v="4"/>
          </reference>
        </references>
      </pivotArea>
    </format>
    <format dxfId="45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"/>
          </reference>
          <reference field="3" count="1">
            <x v="5"/>
          </reference>
        </references>
      </pivotArea>
    </format>
    <format dxfId="454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3" count="1">
            <x v="6"/>
          </reference>
        </references>
      </pivotArea>
    </format>
    <format dxfId="453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0"/>
          </reference>
          <reference field="3" count="1">
            <x v="3"/>
          </reference>
        </references>
      </pivotArea>
    </format>
    <format dxfId="452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"/>
          </reference>
          <reference field="3" count="1">
            <x v="2"/>
          </reference>
        </references>
      </pivotArea>
    </format>
    <format dxfId="451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3"/>
          </reference>
          <reference field="3" count="1">
            <x v="21"/>
          </reference>
        </references>
      </pivotArea>
    </format>
    <format dxfId="450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0"/>
          </reference>
          <reference field="3" count="1">
            <x v="72"/>
          </reference>
        </references>
      </pivotArea>
    </format>
    <format dxfId="449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"/>
          </reference>
          <reference field="3" count="1">
            <x v="90"/>
          </reference>
        </references>
      </pivotArea>
    </format>
    <format dxfId="448">
      <pivotArea dataOnly="0" labelOnly="1" outline="0" fieldPosition="0">
        <references count="3">
          <reference field="0" count="1" selected="0">
            <x v="17"/>
          </reference>
          <reference field="1" count="1" selected="0">
            <x v="6"/>
          </reference>
          <reference field="3" count="1">
            <x v="1"/>
          </reference>
        </references>
      </pivotArea>
    </format>
    <format dxfId="447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7"/>
          </reference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100-000004000000}" name="TablaDinámica51" cacheId="4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F31:H38" firstHeaderRow="1" firstDataRow="1" firstDataCol="3"/>
  <pivotFields count="9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compact="0" outline="0" showAll="0">
      <items count="173">
        <item m="1" x="23"/>
        <item m="1" x="148"/>
        <item m="1" x="171"/>
        <item h="1" x="0"/>
        <item m="1" x="72"/>
        <item m="1" x="14"/>
        <item x="1"/>
        <item x="2"/>
        <item h="1" m="1" x="12"/>
        <item h="1" m="1" x="168"/>
        <item h="1" m="1" x="27"/>
        <item h="1" m="1" x="85"/>
        <item h="1" m="1" x="129"/>
        <item h="1" m="1" x="106"/>
        <item h="1" m="1" x="118"/>
        <item h="1" m="1" x="161"/>
        <item h="1" x="5"/>
        <item h="1" x="3"/>
        <item h="1" m="1" x="115"/>
        <item h="1" m="1" x="20"/>
        <item h="1" x="6"/>
        <item h="1" m="1" x="136"/>
        <item h="1" m="1" x="24"/>
        <item h="1" m="1" x="131"/>
        <item h="1" m="1" x="47"/>
        <item h="1" m="1" x="31"/>
        <item h="1" m="1" x="38"/>
        <item h="1" m="1" x="62"/>
        <item h="1" m="1" x="107"/>
        <item h="1" m="1" x="74"/>
        <item h="1" m="1" x="101"/>
        <item h="1" m="1" x="142"/>
        <item h="1" m="1" x="132"/>
        <item h="1" m="1" x="19"/>
        <item h="1" m="1" x="162"/>
        <item h="1" m="1" x="52"/>
        <item h="1" m="1" x="49"/>
        <item h="1" m="1" x="157"/>
        <item h="1" m="1" x="40"/>
        <item h="1" m="1" x="163"/>
        <item h="1" m="1" x="102"/>
        <item h="1" m="1" x="114"/>
        <item h="1" m="1" x="13"/>
        <item h="1" m="1" x="39"/>
        <item h="1" m="1" x="45"/>
        <item h="1" m="1" x="147"/>
        <item h="1" m="1" x="63"/>
        <item h="1" m="1" x="34"/>
        <item h="1" m="1" x="44"/>
        <item h="1" m="1" x="151"/>
        <item h="1" m="1" x="150"/>
        <item h="1" m="1" x="154"/>
        <item h="1" m="1" x="143"/>
        <item h="1" m="1" x="69"/>
        <item h="1" m="1" x="65"/>
        <item h="1" m="1" x="153"/>
        <item h="1" m="1" x="17"/>
        <item h="1" m="1" x="79"/>
        <item h="1" m="1" x="141"/>
        <item h="1" m="1" x="66"/>
        <item h="1" m="1" x="68"/>
        <item h="1" m="1" x="94"/>
        <item h="1" m="1" x="112"/>
        <item h="1" x="7"/>
        <item h="1" m="1" x="71"/>
        <item h="1" m="1" x="121"/>
        <item h="1" m="1" x="36"/>
        <item h="1" m="1" x="10"/>
        <item h="1" m="1" x="59"/>
        <item h="1" m="1" x="22"/>
        <item h="1" m="1" x="64"/>
        <item h="1" m="1" x="35"/>
        <item h="1" m="1" x="21"/>
        <item h="1" m="1" x="127"/>
        <item h="1" m="1" x="51"/>
        <item h="1" m="1" x="97"/>
        <item h="1" m="1" x="155"/>
        <item h="1" m="1" x="46"/>
        <item h="1" m="1" x="95"/>
        <item h="1" m="1" x="78"/>
        <item h="1" m="1" x="80"/>
        <item h="1" m="1" x="11"/>
        <item h="1" m="1" x="100"/>
        <item h="1" m="1" x="58"/>
        <item h="1" m="1" x="119"/>
        <item h="1" m="1" x="120"/>
        <item h="1" m="1" x="48"/>
        <item h="1" m="1" x="167"/>
        <item h="1" m="1" x="43"/>
        <item h="1" m="1" x="60"/>
        <item h="1" m="1" x="84"/>
        <item h="1" m="1" x="70"/>
        <item h="1" m="1" x="169"/>
        <item h="1" m="1" x="164"/>
        <item h="1" m="1" x="128"/>
        <item h="1" m="1" x="57"/>
        <item h="1" m="1" x="76"/>
        <item h="1" m="1" x="139"/>
        <item h="1" m="1" x="8"/>
        <item h="1" m="1" x="50"/>
        <item h="1" m="1" x="67"/>
        <item h="1" m="1" x="81"/>
        <item h="1" m="1" x="144"/>
        <item h="1" m="1" x="56"/>
        <item h="1" m="1" x="165"/>
        <item h="1" m="1" x="138"/>
        <item h="1" m="1" x="92"/>
        <item h="1" m="1" x="123"/>
        <item h="1" m="1" x="83"/>
        <item h="1" m="1" x="86"/>
        <item h="1" m="1" x="89"/>
        <item h="1" m="1" x="16"/>
        <item h="1" m="1" x="82"/>
        <item h="1" m="1" x="42"/>
        <item h="1" m="1" x="124"/>
        <item h="1" m="1" x="145"/>
        <item h="1" m="1" x="75"/>
        <item h="1" m="1" x="122"/>
        <item h="1" m="1" x="111"/>
        <item h="1" m="1" x="126"/>
        <item h="1" m="1" x="54"/>
        <item h="1" m="1" x="29"/>
        <item h="1" m="1" x="159"/>
        <item h="1" m="1" x="134"/>
        <item h="1" m="1" x="18"/>
        <item h="1" m="1" x="160"/>
        <item h="1" m="1" x="98"/>
        <item h="1" m="1" x="91"/>
        <item h="1" m="1" x="87"/>
        <item h="1" m="1" x="133"/>
        <item h="1" m="1" x="55"/>
        <item h="1" m="1" x="113"/>
        <item h="1" m="1" x="166"/>
        <item h="1" m="1" x="108"/>
        <item h="1" m="1" x="103"/>
        <item h="1" m="1" x="99"/>
        <item h="1" m="1" x="28"/>
        <item h="1" m="1" x="15"/>
        <item h="1" m="1" x="110"/>
        <item h="1" m="1" x="109"/>
        <item h="1" m="1" x="30"/>
        <item h="1" m="1" x="104"/>
        <item h="1" m="1" x="93"/>
        <item h="1" m="1" x="135"/>
        <item h="1" m="1" x="152"/>
        <item h="1" m="1" x="137"/>
        <item h="1" m="1" x="32"/>
        <item h="1" m="1" x="9"/>
        <item h="1" m="1" x="105"/>
        <item h="1" m="1" x="25"/>
        <item h="1" m="1" x="170"/>
        <item h="1" m="1" x="41"/>
        <item h="1" m="1" x="158"/>
        <item h="1" m="1" x="130"/>
        <item h="1" m="1" x="96"/>
        <item h="1" m="1" x="116"/>
        <item h="1" m="1" x="33"/>
        <item h="1" m="1" x="88"/>
        <item h="1" m="1" x="26"/>
        <item h="1" m="1" x="149"/>
        <item h="1" m="1" x="156"/>
        <item h="1" m="1" x="117"/>
        <item h="1" m="1" x="37"/>
        <item h="1" m="1" x="73"/>
        <item h="1" m="1" x="61"/>
        <item h="1" m="1" x="53"/>
        <item h="1" m="1" x="146"/>
        <item h="1" m="1" x="140"/>
        <item h="1" m="1" x="125"/>
        <item h="1" x="4"/>
        <item h="1" m="1" x="90"/>
        <item h="1" m="1" x="77"/>
        <item t="default"/>
      </items>
    </pivotField>
    <pivotField axis="axisRow" compact="0" outline="0" showAll="0">
      <items count="178">
        <item m="1" x="54"/>
        <item m="1" x="170"/>
        <item m="1" x="66"/>
        <item m="1" x="135"/>
        <item m="1" x="65"/>
        <item m="1" x="140"/>
        <item h="1" x="0"/>
        <item m="1" x="26"/>
        <item m="1" x="137"/>
        <item m="1" x="161"/>
        <item m="1" x="59"/>
        <item m="1" x="83"/>
        <item m="1" x="115"/>
        <item m="1" x="160"/>
        <item m="1" x="75"/>
        <item x="4"/>
        <item m="1" x="145"/>
        <item m="1" x="32"/>
        <item m="1" x="46"/>
        <item m="1" x="173"/>
        <item m="1" x="15"/>
        <item m="1" x="19"/>
        <item x="2"/>
        <item m="1" x="10"/>
        <item m="1" x="134"/>
        <item m="1" x="112"/>
        <item m="1" x="154"/>
        <item m="1" x="111"/>
        <item m="1" x="159"/>
        <item m="1" x="110"/>
        <item x="6"/>
        <item m="1" x="126"/>
        <item m="1" x="28"/>
        <item m="1" x="55"/>
        <item m="1" x="14"/>
        <item m="1" x="120"/>
        <item m="1" x="142"/>
        <item m="1" x="53"/>
        <item m="1" x="116"/>
        <item m="1" x="35"/>
        <item m="1" x="113"/>
        <item m="1" x="100"/>
        <item m="1" x="74"/>
        <item m="1" x="130"/>
        <item m="1" x="47"/>
        <item m="1" x="13"/>
        <item m="1" x="165"/>
        <item m="1" x="70"/>
        <item m="1" x="27"/>
        <item m="1" x="69"/>
        <item m="1" x="44"/>
        <item m="1" x="78"/>
        <item m="1" x="76"/>
        <item m="1" x="50"/>
        <item m="1" x="56"/>
        <item m="1" x="71"/>
        <item m="1" x="25"/>
        <item x="5"/>
        <item m="1" x="104"/>
        <item m="1" x="162"/>
        <item m="1" x="105"/>
        <item m="1" x="87"/>
        <item m="1" x="79"/>
        <item m="1" x="89"/>
        <item m="1" x="149"/>
        <item m="1" x="150"/>
        <item m="1" x="119"/>
        <item m="1" x="37"/>
        <item m="1" x="80"/>
        <item m="1" x="64"/>
        <item m="1" x="128"/>
        <item m="1" x="77"/>
        <item m="1" x="72"/>
        <item m="1" x="118"/>
        <item m="1" x="109"/>
        <item m="1" x="93"/>
        <item m="1" x="127"/>
        <item m="1" x="146"/>
        <item m="1" x="12"/>
        <item m="1" x="132"/>
        <item m="1" x="98"/>
        <item m="1" x="9"/>
        <item m="1" x="57"/>
        <item m="1" x="156"/>
        <item m="1" x="171"/>
        <item m="1" x="22"/>
        <item m="1" x="147"/>
        <item m="1" x="86"/>
        <item m="1" x="23"/>
        <item m="1" x="97"/>
        <item m="1" x="41"/>
        <item m="1" x="155"/>
        <item m="1" x="108"/>
        <item m="1" x="158"/>
        <item m="1" x="96"/>
        <item m="1" x="17"/>
        <item m="1" x="34"/>
        <item m="1" x="20"/>
        <item m="1" x="151"/>
        <item m="1" x="30"/>
        <item m="1" x="133"/>
        <item m="1" x="33"/>
        <item m="1" x="157"/>
        <item m="1" x="122"/>
        <item m="1" x="68"/>
        <item m="1" x="60"/>
        <item m="1" x="88"/>
        <item m="1" x="136"/>
        <item m="1" x="58"/>
        <item m="1" x="61"/>
        <item m="1" x="63"/>
        <item m="1" x="141"/>
        <item m="1" x="40"/>
        <item m="1" x="73"/>
        <item m="1" x="99"/>
        <item m="1" x="8"/>
        <item m="1" x="94"/>
        <item m="1" x="24"/>
        <item m="1" x="143"/>
        <item m="1" x="144"/>
        <item m="1" x="62"/>
        <item m="1" x="121"/>
        <item m="1" x="174"/>
        <item m="1" x="106"/>
        <item m="1" x="16"/>
        <item m="1" x="117"/>
        <item m="1" x="21"/>
        <item m="1" x="36"/>
        <item m="1" x="103"/>
        <item m="1" x="163"/>
        <item m="1" x="153"/>
        <item m="1" x="91"/>
        <item m="1" x="11"/>
        <item m="1" x="114"/>
        <item m="1" x="29"/>
        <item m="1" x="175"/>
        <item m="1" x="31"/>
        <item m="1" x="92"/>
        <item m="1" x="138"/>
        <item m="1" x="176"/>
        <item m="1" x="52"/>
        <item m="1" x="168"/>
        <item m="1" x="139"/>
        <item m="1" x="67"/>
        <item m="1" x="82"/>
        <item m="1" x="18"/>
        <item m="1" x="42"/>
        <item m="1" x="124"/>
        <item m="1" x="39"/>
        <item m="1" x="95"/>
        <item m="1" x="167"/>
        <item m="1" x="125"/>
        <item m="1" x="48"/>
        <item m="1" x="81"/>
        <item m="1" x="7"/>
        <item m="1" x="148"/>
        <item m="1" x="43"/>
        <item m="1" x="45"/>
        <item m="1" x="84"/>
        <item m="1" x="131"/>
        <item m="1" x="51"/>
        <item m="1" x="107"/>
        <item m="1" x="101"/>
        <item m="1" x="90"/>
        <item m="1" x="49"/>
        <item m="1" x="38"/>
        <item m="1" x="102"/>
        <item m="1" x="85"/>
        <item m="1" x="172"/>
        <item m="1" x="123"/>
        <item m="1" x="166"/>
        <item m="1" x="129"/>
        <item m="1" x="164"/>
        <item m="1" x="152"/>
        <item m="1" x="169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0"/>
    <field x="1"/>
    <field x="3"/>
  </rowFields>
  <rowItems count="7">
    <i>
      <x v="6"/>
      <x v="14"/>
      <x v="175"/>
    </i>
    <i>
      <x v="7"/>
      <x v="12"/>
      <x v="22"/>
    </i>
    <i>
      <x v="9"/>
      <x v="26"/>
      <x v="176"/>
    </i>
    <i>
      <x v="11"/>
      <x/>
      <x v="15"/>
    </i>
    <i>
      <x v="16"/>
      <x v="20"/>
      <x v="57"/>
    </i>
    <i>
      <x v="19"/>
      <x v="7"/>
      <x v="30"/>
    </i>
    <i t="grand">
      <x/>
    </i>
  </rowItems>
  <colItems count="1">
    <i/>
  </colItems>
  <formats count="21">
    <format dxfId="492">
      <pivotArea field="1" type="button" dataOnly="0" labelOnly="1" outline="0" axis="axisRow" fieldPosition="1"/>
    </format>
    <format dxfId="491">
      <pivotArea field="2" type="button" dataOnly="0" labelOnly="1" outline="0"/>
    </format>
    <format dxfId="490">
      <pivotArea field="1" type="button" dataOnly="0" labelOnly="1" outline="0" axis="axisRow" fieldPosition="1"/>
    </format>
    <format dxfId="489">
      <pivotArea field="2" type="button" dataOnly="0" labelOnly="1" outline="0"/>
    </format>
    <format dxfId="488">
      <pivotArea field="1" type="button" dataOnly="0" labelOnly="1" outline="0" axis="axisRow" fieldPosition="1"/>
    </format>
    <format dxfId="487">
      <pivotArea field="2" type="button" dataOnly="0" labelOnly="1" outline="0"/>
    </format>
    <format dxfId="486">
      <pivotArea type="all" dataOnly="0" outline="0" fieldPosition="0"/>
    </format>
    <format dxfId="485">
      <pivotArea field="1" type="button" dataOnly="0" labelOnly="1" outline="0" axis="axisRow" fieldPosition="1"/>
    </format>
    <format dxfId="484">
      <pivotArea field="2" type="button" dataOnly="0" labelOnly="1" outline="0"/>
    </format>
    <format dxfId="483">
      <pivotArea dataOnly="0" labelOnly="1" outline="0" fieldPosition="0">
        <references count="1">
          <reference field="1" count="0"/>
        </references>
      </pivotArea>
    </format>
    <format dxfId="482">
      <pivotArea dataOnly="0" labelOnly="1" grandRow="1" outline="0" fieldPosition="0"/>
    </format>
    <format dxfId="481">
      <pivotArea field="0" type="button" dataOnly="0" labelOnly="1" outline="0" axis="axisRow" fieldPosition="0"/>
    </format>
    <format dxfId="480">
      <pivotArea dataOnly="0" labelOnly="1" outline="0" fieldPosition="0">
        <references count="1">
          <reference field="0" count="9">
            <x v="2"/>
            <x v="4"/>
            <x v="5"/>
            <x v="8"/>
            <x v="13"/>
            <x v="15"/>
            <x v="16"/>
            <x v="18"/>
            <x v="23"/>
          </reference>
        </references>
      </pivotArea>
    </format>
    <format dxfId="479">
      <pivotArea field="3" type="button" dataOnly="0" labelOnly="1" outline="0" axis="axisRow" fieldPosition="2"/>
    </format>
    <format dxfId="478">
      <pivotArea dataOnly="0" labelOnly="1" grandRow="1" outline="0" fieldPosition="0"/>
    </format>
    <format dxfId="47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"/>
          </reference>
          <reference field="3" count="1">
            <x v="4"/>
          </reference>
        </references>
      </pivotArea>
    </format>
    <format dxfId="476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3" count="1">
            <x v="5"/>
          </reference>
        </references>
      </pivotArea>
    </format>
    <format dxfId="475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0"/>
          </reference>
          <reference field="3" count="1">
            <x v="3"/>
          </reference>
        </references>
      </pivotArea>
    </format>
    <format dxfId="474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"/>
          </reference>
          <reference field="3" count="1">
            <x v="1"/>
          </reference>
        </references>
      </pivotArea>
    </format>
    <format dxfId="473">
      <pivotArea dataOnly="0" labelOnly="1" outline="0" fieldPosition="0">
        <references count="3">
          <reference field="0" count="1" selected="0">
            <x v="17"/>
          </reference>
          <reference field="1" count="1" selected="0">
            <x v="6"/>
          </reference>
          <reference field="3" count="1">
            <x v="2"/>
          </reference>
        </references>
      </pivotArea>
    </format>
    <format dxfId="472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7"/>
          </reference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100-000013000000}" name="TablaDinámica66" cacheId="4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F171:H177" firstHeaderRow="1" firstDataRow="1" firstDataCol="3"/>
  <pivotFields count="9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compact="0" outline="0" showAll="0">
      <items count="173">
        <item m="1" x="23"/>
        <item m="1" x="148"/>
        <item m="1" x="171"/>
        <item h="1" x="0"/>
        <item m="1" x="72"/>
        <item m="1" x="14"/>
        <item x="1"/>
        <item x="2"/>
        <item h="1" m="1" x="12"/>
        <item h="1" m="1" x="168"/>
        <item h="1" m="1" x="27"/>
        <item h="1" m="1" x="85"/>
        <item h="1" m="1" x="129"/>
        <item h="1" m="1" x="106"/>
        <item h="1" m="1" x="118"/>
        <item h="1" m="1" x="161"/>
        <item h="1" x="5"/>
        <item h="1" x="3"/>
        <item h="1" m="1" x="115"/>
        <item h="1" m="1" x="20"/>
        <item h="1" x="6"/>
        <item h="1" m="1" x="136"/>
        <item h="1" m="1" x="24"/>
        <item h="1" m="1" x="131"/>
        <item h="1" m="1" x="47"/>
        <item h="1" m="1" x="31"/>
        <item h="1" m="1" x="38"/>
        <item h="1" m="1" x="62"/>
        <item h="1" m="1" x="107"/>
        <item h="1" m="1" x="74"/>
        <item h="1" m="1" x="101"/>
        <item h="1" m="1" x="142"/>
        <item h="1" m="1" x="132"/>
        <item h="1" m="1" x="19"/>
        <item h="1" m="1" x="162"/>
        <item h="1" m="1" x="52"/>
        <item h="1" m="1" x="49"/>
        <item h="1" m="1" x="157"/>
        <item h="1" m="1" x="40"/>
        <item h="1" m="1" x="163"/>
        <item h="1" m="1" x="102"/>
        <item h="1" m="1" x="114"/>
        <item h="1" m="1" x="13"/>
        <item h="1" m="1" x="39"/>
        <item h="1" m="1" x="45"/>
        <item h="1" m="1" x="147"/>
        <item h="1" m="1" x="63"/>
        <item h="1" m="1" x="34"/>
        <item h="1" m="1" x="44"/>
        <item h="1" m="1" x="151"/>
        <item h="1" m="1" x="150"/>
        <item h="1" m="1" x="154"/>
        <item h="1" m="1" x="143"/>
        <item h="1" m="1" x="69"/>
        <item h="1" m="1" x="65"/>
        <item h="1" m="1" x="153"/>
        <item h="1" m="1" x="17"/>
        <item h="1" m="1" x="79"/>
        <item h="1" m="1" x="141"/>
        <item h="1" m="1" x="66"/>
        <item h="1" m="1" x="68"/>
        <item h="1" m="1" x="94"/>
        <item h="1" m="1" x="112"/>
        <item h="1" x="7"/>
        <item h="1" m="1" x="71"/>
        <item h="1" m="1" x="121"/>
        <item h="1" m="1" x="36"/>
        <item h="1" m="1" x="10"/>
        <item h="1" m="1" x="59"/>
        <item h="1" m="1" x="22"/>
        <item h="1" m="1" x="64"/>
        <item h="1" m="1" x="35"/>
        <item h="1" m="1" x="21"/>
        <item h="1" m="1" x="127"/>
        <item h="1" m="1" x="51"/>
        <item h="1" m="1" x="97"/>
        <item h="1" m="1" x="155"/>
        <item h="1" m="1" x="46"/>
        <item h="1" m="1" x="95"/>
        <item h="1" m="1" x="78"/>
        <item h="1" m="1" x="80"/>
        <item h="1" m="1" x="11"/>
        <item h="1" m="1" x="100"/>
        <item h="1" m="1" x="58"/>
        <item h="1" m="1" x="119"/>
        <item h="1" m="1" x="120"/>
        <item h="1" m="1" x="48"/>
        <item h="1" m="1" x="167"/>
        <item h="1" m="1" x="43"/>
        <item h="1" m="1" x="60"/>
        <item h="1" m="1" x="84"/>
        <item h="1" m="1" x="70"/>
        <item h="1" m="1" x="169"/>
        <item h="1" m="1" x="164"/>
        <item h="1" m="1" x="128"/>
        <item h="1" m="1" x="57"/>
        <item h="1" m="1" x="76"/>
        <item h="1" m="1" x="139"/>
        <item h="1" m="1" x="8"/>
        <item h="1" m="1" x="50"/>
        <item h="1" m="1" x="67"/>
        <item h="1" m="1" x="81"/>
        <item h="1" m="1" x="144"/>
        <item h="1" m="1" x="56"/>
        <item h="1" m="1" x="165"/>
        <item h="1" m="1" x="138"/>
        <item h="1" m="1" x="92"/>
        <item h="1" m="1" x="123"/>
        <item h="1" m="1" x="83"/>
        <item h="1" m="1" x="86"/>
        <item h="1" m="1" x="89"/>
        <item h="1" m="1" x="16"/>
        <item h="1" m="1" x="82"/>
        <item h="1" m="1" x="42"/>
        <item h="1" m="1" x="124"/>
        <item h="1" m="1" x="145"/>
        <item h="1" m="1" x="75"/>
        <item h="1" m="1" x="122"/>
        <item h="1" m="1" x="111"/>
        <item h="1" m="1" x="126"/>
        <item h="1" m="1" x="54"/>
        <item h="1" m="1" x="29"/>
        <item h="1" m="1" x="159"/>
        <item h="1" m="1" x="134"/>
        <item h="1" m="1" x="18"/>
        <item h="1" m="1" x="160"/>
        <item h="1" m="1" x="98"/>
        <item h="1" m="1" x="91"/>
        <item h="1" m="1" x="87"/>
        <item h="1" m="1" x="133"/>
        <item h="1" m="1" x="55"/>
        <item h="1" m="1" x="113"/>
        <item h="1" m="1" x="166"/>
        <item h="1" m="1" x="108"/>
        <item h="1" m="1" x="103"/>
        <item h="1" m="1" x="99"/>
        <item h="1" m="1" x="28"/>
        <item h="1" m="1" x="15"/>
        <item h="1" m="1" x="110"/>
        <item h="1" m="1" x="109"/>
        <item h="1" m="1" x="30"/>
        <item h="1" m="1" x="104"/>
        <item h="1" m="1" x="93"/>
        <item h="1" m="1" x="135"/>
        <item h="1" m="1" x="152"/>
        <item h="1" m="1" x="137"/>
        <item h="1" m="1" x="32"/>
        <item h="1" m="1" x="9"/>
        <item h="1" m="1" x="105"/>
        <item h="1" m="1" x="25"/>
        <item h="1" m="1" x="170"/>
        <item h="1" m="1" x="41"/>
        <item h="1" m="1" x="158"/>
        <item h="1" m="1" x="130"/>
        <item h="1" m="1" x="96"/>
        <item h="1" m="1" x="116"/>
        <item h="1" m="1" x="33"/>
        <item h="1" m="1" x="88"/>
        <item h="1" m="1" x="26"/>
        <item h="1" m="1" x="149"/>
        <item h="1" m="1" x="156"/>
        <item h="1" m="1" x="117"/>
        <item h="1" m="1" x="37"/>
        <item h="1" m="1" x="73"/>
        <item h="1" m="1" x="61"/>
        <item h="1" m="1" x="53"/>
        <item h="1" m="1" x="146"/>
        <item h="1" m="1" x="140"/>
        <item h="1" m="1" x="125"/>
        <item h="1" x="4"/>
        <item h="1" m="1" x="90"/>
        <item h="1" m="1" x="7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80">
        <item m="1" x="107"/>
        <item m="1" x="169"/>
        <item x="4"/>
        <item m="1" x="24"/>
        <item m="1" x="78"/>
        <item m="1" x="113"/>
        <item m="1" x="7"/>
        <item x="1"/>
        <item m="1" x="157"/>
        <item h="1" x="0"/>
        <item m="1" x="28"/>
        <item m="1" x="18"/>
        <item m="1" x="144"/>
        <item m="1" x="49"/>
        <item m="1" x="168"/>
        <item m="1" x="139"/>
        <item m="1" x="173"/>
        <item m="1" x="124"/>
        <item m="1" x="161"/>
        <item m="1" x="158"/>
        <item m="1" x="146"/>
        <item m="1" x="9"/>
        <item m="1" x="15"/>
        <item m="1" x="137"/>
        <item m="1" x="140"/>
        <item m="1" x="134"/>
        <item m="1" x="36"/>
        <item x="5"/>
        <item m="1" x="70"/>
        <item m="1" x="121"/>
        <item m="1" x="67"/>
        <item m="1" x="55"/>
        <item m="1" x="79"/>
        <item m="1" x="41"/>
        <item m="1" x="163"/>
        <item m="1" x="33"/>
        <item m="1" x="164"/>
        <item m="1" x="20"/>
        <item m="1" x="58"/>
        <item m="1" x="69"/>
        <item m="1" x="52"/>
        <item m="1" x="64"/>
        <item m="1" x="122"/>
        <item m="1" x="128"/>
        <item m="1" x="47"/>
        <item m="1" x="12"/>
        <item m="1" x="142"/>
        <item m="1" x="45"/>
        <item m="1" x="162"/>
        <item m="1" x="160"/>
        <item m="1" x="152"/>
        <item m="1" x="72"/>
        <item m="1" x="68"/>
        <item m="1" x="150"/>
        <item m="1" x="99"/>
        <item m="1" x="19"/>
        <item m="1" x="84"/>
        <item m="1" x="149"/>
        <item m="1" x="71"/>
        <item m="1" x="104"/>
        <item m="1" x="75"/>
        <item m="1" x="74"/>
        <item m="1" x="130"/>
        <item m="1" x="40"/>
        <item m="1" x="11"/>
        <item m="1" x="65"/>
        <item m="1" x="116"/>
        <item m="1" x="37"/>
        <item m="1" x="174"/>
        <item m="1" x="119"/>
        <item m="1" x="110"/>
        <item m="1" x="138"/>
        <item m="1" x="136"/>
        <item m="1" x="22"/>
        <item m="1" x="141"/>
        <item m="1" x="90"/>
        <item m="1" x="48"/>
        <item m="1" x="135"/>
        <item m="1" x="66"/>
        <item m="1" x="21"/>
        <item m="1" x="105"/>
        <item m="1" x="83"/>
        <item m="1" x="151"/>
        <item m="1" x="57"/>
        <item m="1" x="6"/>
        <item m="1" x="148"/>
        <item m="1" x="111"/>
        <item m="1" x="91"/>
        <item m="1" x="35"/>
        <item m="1" x="51"/>
        <item m="1" x="131"/>
        <item m="1" x="96"/>
        <item m="1" x="166"/>
        <item m="1" x="100"/>
        <item m="1" x="176"/>
        <item m="1" x="29"/>
        <item m="1" x="59"/>
        <item m="1" x="87"/>
        <item m="1" x="126"/>
        <item m="1" x="101"/>
        <item m="1" x="129"/>
        <item m="1" x="155"/>
        <item m="1" x="165"/>
        <item m="1" x="81"/>
        <item m="1" x="153"/>
        <item m="1" x="62"/>
        <item m="1" x="38"/>
        <item m="1" x="118"/>
        <item m="1" x="61"/>
        <item m="1" x="86"/>
        <item m="1" x="114"/>
        <item m="1" x="170"/>
        <item m="1" x="85"/>
        <item m="1" x="31"/>
        <item m="1" x="147"/>
        <item m="1" x="89"/>
        <item m="1" x="132"/>
        <item m="1" x="106"/>
        <item m="1" x="97"/>
        <item m="1" x="32"/>
        <item m="1" x="39"/>
        <item m="1" x="8"/>
        <item m="1" x="23"/>
        <item m="1" x="115"/>
        <item m="1" x="80"/>
        <item m="1" x="156"/>
        <item m="1" x="92"/>
        <item m="1" x="95"/>
        <item m="1" x="17"/>
        <item m="1" x="54"/>
        <item m="1" x="76"/>
        <item m="1" x="44"/>
        <item m="1" x="42"/>
        <item m="1" x="133"/>
        <item m="1" x="154"/>
        <item m="1" x="123"/>
        <item m="1" x="82"/>
        <item m="1" x="73"/>
        <item m="1" x="120"/>
        <item m="1" x="50"/>
        <item m="1" x="27"/>
        <item m="1" x="167"/>
        <item m="1" x="112"/>
        <item m="1" x="14"/>
        <item m="1" x="172"/>
        <item m="1" x="108"/>
        <item m="1" x="98"/>
        <item m="1" x="93"/>
        <item m="1" x="143"/>
        <item m="1" x="117"/>
        <item m="1" x="175"/>
        <item m="1" x="56"/>
        <item m="1" x="109"/>
        <item m="1" x="26"/>
        <item m="1" x="16"/>
        <item m="1" x="30"/>
        <item m="1" x="103"/>
        <item m="1" x="145"/>
        <item m="1" x="13"/>
        <item m="1" x="177"/>
        <item m="1" x="25"/>
        <item m="1" x="88"/>
        <item m="1" x="178"/>
        <item m="1" x="43"/>
        <item m="1" x="60"/>
        <item m="1" x="77"/>
        <item m="1" x="53"/>
        <item m="1" x="125"/>
        <item m="1" x="34"/>
        <item m="1" x="94"/>
        <item m="1" x="171"/>
        <item m="1" x="159"/>
        <item m="1" x="127"/>
        <item m="1" x="63"/>
        <item m="1" x="102"/>
        <item x="3"/>
        <item m="1" x="46"/>
        <item m="1" x="10"/>
        <item x="2"/>
        <item t="default"/>
      </items>
    </pivotField>
  </pivotFields>
  <rowFields count="3">
    <field x="0"/>
    <field x="1"/>
    <field x="8"/>
  </rowFields>
  <rowItems count="6">
    <i>
      <x v="1"/>
      <x v="9"/>
      <x v="7"/>
    </i>
    <i>
      <x v="6"/>
      <x v="14"/>
      <x v="178"/>
    </i>
    <i>
      <x v="16"/>
      <x v="20"/>
      <x v="175"/>
    </i>
    <i>
      <x v="17"/>
      <x v="5"/>
      <x v="2"/>
    </i>
    <i>
      <x v="19"/>
      <x v="7"/>
      <x v="27"/>
    </i>
    <i t="grand">
      <x/>
    </i>
  </rowItems>
  <colItems count="1">
    <i/>
  </colItems>
  <formats count="25">
    <format dxfId="517">
      <pivotArea field="1" type="button" dataOnly="0" labelOnly="1" outline="0" axis="axisRow" fieldPosition="1"/>
    </format>
    <format dxfId="516">
      <pivotArea field="2" type="button" dataOnly="0" labelOnly="1" outline="0"/>
    </format>
    <format dxfId="515">
      <pivotArea field="1" type="button" dataOnly="0" labelOnly="1" outline="0" axis="axisRow" fieldPosition="1"/>
    </format>
    <format dxfId="514">
      <pivotArea field="2" type="button" dataOnly="0" labelOnly="1" outline="0"/>
    </format>
    <format dxfId="513">
      <pivotArea field="1" type="button" dataOnly="0" labelOnly="1" outline="0" axis="axisRow" fieldPosition="1"/>
    </format>
    <format dxfId="512">
      <pivotArea field="2" type="button" dataOnly="0" labelOnly="1" outline="0"/>
    </format>
    <format dxfId="511">
      <pivotArea type="all" dataOnly="0" outline="0" fieldPosition="0"/>
    </format>
    <format dxfId="510">
      <pivotArea field="1" type="button" dataOnly="0" labelOnly="1" outline="0" axis="axisRow" fieldPosition="1"/>
    </format>
    <format dxfId="509">
      <pivotArea field="2" type="button" dataOnly="0" labelOnly="1" outline="0"/>
    </format>
    <format dxfId="508">
      <pivotArea dataOnly="0" labelOnly="1" outline="0" fieldPosition="0">
        <references count="1">
          <reference field="1" count="0"/>
        </references>
      </pivotArea>
    </format>
    <format dxfId="507">
      <pivotArea dataOnly="0" labelOnly="1" grandRow="1" outline="0" fieldPosition="0"/>
    </format>
    <format dxfId="506">
      <pivotArea field="0" type="button" dataOnly="0" labelOnly="1" outline="0" axis="axisRow" fieldPosition="0"/>
    </format>
    <format dxfId="505">
      <pivotArea dataOnly="0" labelOnly="1" outline="0" fieldPosition="0">
        <references count="1">
          <reference field="0" count="9">
            <x v="2"/>
            <x v="4"/>
            <x v="5"/>
            <x v="8"/>
            <x v="13"/>
            <x v="15"/>
            <x v="16"/>
            <x v="18"/>
            <x v="23"/>
          </reference>
        </references>
      </pivotArea>
    </format>
    <format dxfId="504">
      <pivotArea field="8" type="button" dataOnly="0" labelOnly="1" outline="0" axis="axisRow" fieldPosition="2"/>
    </format>
    <format dxfId="503">
      <pivotArea dataOnly="0" labelOnly="1" grandRow="1" outline="0" fieldPosition="0"/>
    </format>
    <format dxfId="50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6"/>
          </reference>
          <reference field="8" count="1">
            <x v="1"/>
          </reference>
        </references>
      </pivotArea>
    </format>
    <format dxfId="50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"/>
          </reference>
          <reference field="8" count="1">
            <x v="6"/>
          </reference>
        </references>
      </pivotArea>
    </format>
    <format dxfId="500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8" count="1">
            <x v="8"/>
          </reference>
        </references>
      </pivotArea>
    </format>
    <format dxfId="499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12"/>
          </reference>
          <reference field="8" count="1">
            <x v="3"/>
          </reference>
        </references>
      </pivotArea>
    </format>
    <format dxfId="498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7"/>
          </reference>
          <reference field="8" count="1">
            <x v="0"/>
          </reference>
        </references>
      </pivotArea>
    </format>
    <format dxfId="497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0"/>
          </reference>
          <reference field="8" count="1">
            <x v="7"/>
          </reference>
        </references>
      </pivotArea>
    </format>
    <format dxfId="496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4"/>
          </reference>
          <reference field="8" count="1">
            <x v="2"/>
          </reference>
        </references>
      </pivotArea>
    </format>
    <format dxfId="495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"/>
          </reference>
          <reference field="8" count="1">
            <x v="4"/>
          </reference>
        </references>
      </pivotArea>
    </format>
    <format dxfId="494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22"/>
          </reference>
          <reference field="8" count="1">
            <x v="4"/>
          </reference>
        </references>
      </pivotArea>
    </format>
    <format dxfId="493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0"/>
          </reference>
          <reference field="8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100-000009000000}" name="TablaDinámica56" cacheId="5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J87:L96" firstHeaderRow="1" firstDataRow="1" firstDataCol="3"/>
  <pivotFields count="9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compact="0" outline="0" showAll="0">
      <items count="169">
        <item m="1" x="147"/>
        <item m="1" x="98"/>
        <item h="1" x="0"/>
        <item m="1" x="90"/>
        <item m="1" x="94"/>
        <item m="1" x="78"/>
        <item m="1" x="129"/>
        <item m="1" x="45"/>
        <item h="1" m="1" x="43"/>
        <item h="1" m="1" x="86"/>
        <item h="1" m="1" x="71"/>
        <item h="1" m="1" x="151"/>
        <item h="1" m="1" x="33"/>
        <item h="1" m="1" x="157"/>
        <item h="1" x="8"/>
        <item h="1" x="4"/>
        <item h="1" m="1" x="100"/>
        <item h="1" m="1" x="55"/>
        <item h="1" m="1" x="53"/>
        <item h="1" m="1" x="11"/>
        <item h="1" m="1" x="59"/>
        <item h="1" m="1" x="58"/>
        <item h="1" m="1" x="32"/>
        <item h="1" m="1" x="114"/>
        <item h="1" m="1" x="57"/>
        <item h="1" m="1" x="164"/>
        <item h="1" m="1" x="127"/>
        <item h="1" m="1" x="17"/>
        <item h="1" m="1" x="65"/>
        <item h="1" m="1" x="123"/>
        <item h="1" m="1" x="158"/>
        <item h="1" m="1" x="31"/>
        <item h="1" m="1" x="161"/>
        <item h="1" m="1" x="93"/>
        <item h="1" m="1" x="23"/>
        <item h="1" m="1" x="49"/>
        <item h="1" m="1" x="96"/>
        <item h="1" m="1" x="80"/>
        <item h="1" m="1" x="128"/>
        <item h="1" m="1" x="124"/>
        <item h="1" m="1" x="137"/>
        <item h="1" m="1" x="118"/>
        <item h="1" m="1" x="102"/>
        <item h="1" m="1" x="115"/>
        <item h="1" m="1" x="85"/>
        <item h="1" m="1" x="74"/>
        <item h="1" m="1" x="156"/>
        <item h="1" m="1" x="104"/>
        <item h="1" m="1" x="167"/>
        <item h="1" m="1" x="87"/>
        <item h="1" m="1" x="110"/>
        <item h="1" m="1" x="36"/>
        <item h="1" m="1" x="131"/>
        <item h="1" m="1" x="9"/>
        <item h="1" m="1" x="145"/>
        <item h="1" m="1" x="146"/>
        <item h="1" m="1" x="149"/>
        <item h="1" m="1" x="38"/>
        <item h="1" m="1" x="16"/>
        <item h="1" m="1" x="21"/>
        <item h="1" m="1" x="139"/>
        <item h="1" m="1" x="39"/>
        <item h="1" m="1" x="63"/>
        <item h="1" m="1" x="67"/>
        <item h="1" m="1" x="24"/>
        <item h="1" m="1" x="106"/>
        <item h="1" m="1" x="119"/>
        <item h="1" m="1" x="66"/>
        <item h="1" m="1" x="19"/>
        <item h="1" m="1" x="28"/>
        <item h="1" m="1" x="121"/>
        <item h="1" m="1" x="56"/>
        <item h="1" m="1" x="89"/>
        <item h="1" m="1" x="108"/>
        <item h="1" m="1" x="154"/>
        <item h="1" m="1" x="29"/>
        <item h="1" m="1" x="153"/>
        <item h="1" m="1" x="130"/>
        <item h="1" m="1" x="51"/>
        <item h="1" m="1" x="143"/>
        <item h="1" m="1" x="52"/>
        <item h="1" m="1" x="40"/>
        <item h="1" m="1" x="160"/>
        <item h="1" m="1" x="68"/>
        <item h="1" m="1" x="82"/>
        <item h="1" m="1" x="79"/>
        <item h="1" m="1" x="150"/>
        <item h="1" m="1" x="117"/>
        <item h="1" m="1" x="163"/>
        <item h="1" m="1" x="18"/>
        <item h="1" m="1" x="107"/>
        <item h="1" x="6"/>
        <item h="1" m="1" x="15"/>
        <item h="1" m="1" x="88"/>
        <item h="1" m="1" x="165"/>
        <item h="1" m="1" x="54"/>
        <item h="1" m="1" x="35"/>
        <item h="1" m="1" x="144"/>
        <item h="1" m="1" x="10"/>
        <item h="1" m="1" x="62"/>
        <item h="1" m="1" x="25"/>
        <item h="1" m="1" x="91"/>
        <item h="1" m="1" x="112"/>
        <item h="1" m="1" x="61"/>
        <item h="1" m="1" x="14"/>
        <item h="1" m="1" x="132"/>
        <item h="1" m="1" x="136"/>
        <item h="1" m="1" x="64"/>
        <item h="1" m="1" x="77"/>
        <item h="1" m="1" x="135"/>
        <item h="1" m="1" x="27"/>
        <item h="1" m="1" x="134"/>
        <item h="1" m="1" x="109"/>
        <item h="1" m="1" x="141"/>
        <item h="1" m="1" x="73"/>
        <item h="1" m="1" x="26"/>
        <item h="1" m="1" x="69"/>
        <item h="1" m="1" x="20"/>
        <item h="1" m="1" x="75"/>
        <item h="1" x="7"/>
        <item h="1" m="1" x="95"/>
        <item h="1" m="1" x="50"/>
        <item h="1" m="1" x="122"/>
        <item h="1" m="1" x="83"/>
        <item h="1" m="1" x="138"/>
        <item h="1" m="1" x="47"/>
        <item h="1" m="1" x="142"/>
        <item h="1" m="1" x="166"/>
        <item h="1" m="1" x="162"/>
        <item h="1" m="1" x="103"/>
        <item h="1" m="1" x="97"/>
        <item h="1" m="1" x="101"/>
        <item h="1" m="1" x="76"/>
        <item h="1" m="1" x="126"/>
        <item h="1" m="1" x="12"/>
        <item h="1" m="1" x="159"/>
        <item h="1" m="1" x="60"/>
        <item h="1" m="1" x="70"/>
        <item h="1" m="1" x="72"/>
        <item h="1" m="1" x="111"/>
        <item h="1" m="1" x="148"/>
        <item h="1" m="1" x="48"/>
        <item h="1" m="1" x="120"/>
        <item h="1" m="1" x="152"/>
        <item h="1" m="1" x="140"/>
        <item h="1" m="1" x="30"/>
        <item h="1" m="1" x="37"/>
        <item h="1" m="1" x="81"/>
        <item h="1" m="1" x="13"/>
        <item h="1" m="1" x="46"/>
        <item h="1" m="1" x="41"/>
        <item h="1" m="1" x="116"/>
        <item h="1" m="1" x="84"/>
        <item h="1" m="1" x="92"/>
        <item h="1" m="1" x="113"/>
        <item h="1" m="1" x="155"/>
        <item h="1" m="1" x="34"/>
        <item h="1" m="1" x="44"/>
        <item h="1" m="1" x="99"/>
        <item h="1" m="1" x="125"/>
        <item h="1" m="1" x="133"/>
        <item h="1" m="1" x="42"/>
        <item h="1" m="1" x="105"/>
        <item h="1" m="1" x="22"/>
        <item h="1" x="1"/>
        <item h="1" x="2"/>
        <item h="1" x="3"/>
        <item h="1" x="5"/>
        <item t="default"/>
      </items>
    </pivotField>
    <pivotField compact="0" outline="0" showAll="0"/>
    <pivotField compact="0" outline="0" showAll="0"/>
    <pivotField axis="axisRow" compact="0" outline="0" showAll="0">
      <items count="167">
        <item m="1" x="148"/>
        <item m="1" x="53"/>
        <item m="1" x="97"/>
        <item x="7"/>
        <item m="1" x="151"/>
        <item m="1" x="25"/>
        <item h="1" x="0"/>
        <item m="1" x="110"/>
        <item m="1" x="113"/>
        <item m="1" x="74"/>
        <item m="1" x="125"/>
        <item x="1"/>
        <item m="1" x="114"/>
        <item m="1" x="48"/>
        <item m="1" x="163"/>
        <item m="1" x="154"/>
        <item m="1" x="87"/>
        <item m="1" x="80"/>
        <item m="1" x="41"/>
        <item m="1" x="69"/>
        <item m="1" x="94"/>
        <item m="1" x="159"/>
        <item m="1" x="89"/>
        <item m="1" x="66"/>
        <item m="1" x="127"/>
        <item m="1" x="31"/>
        <item m="1" x="34"/>
        <item m="1" x="104"/>
        <item m="1" x="132"/>
        <item m="1" x="18"/>
        <item m="1" x="37"/>
        <item m="1" x="102"/>
        <item m="1" x="120"/>
        <item m="1" x="140"/>
        <item m="1" x="91"/>
        <item m="1" x="118"/>
        <item m="1" x="55"/>
        <item m="1" x="115"/>
        <item m="1" x="73"/>
        <item m="1" x="54"/>
        <item m="1" x="49"/>
        <item m="1" x="149"/>
        <item m="1" x="38"/>
        <item m="1" x="147"/>
        <item m="1" x="96"/>
        <item m="1" x="15"/>
        <item m="1" x="72"/>
        <item m="1" x="29"/>
        <item x="2"/>
        <item m="1" x="126"/>
        <item m="1" x="103"/>
        <item m="1" x="152"/>
        <item m="1" x="100"/>
        <item m="1" x="45"/>
        <item m="1" x="85"/>
        <item m="1" x="51"/>
        <item m="1" x="17"/>
        <item m="1" x="129"/>
        <item m="1" x="42"/>
        <item m="1" x="101"/>
        <item m="1" x="142"/>
        <item m="1" x="26"/>
        <item m="1" x="105"/>
        <item x="6"/>
        <item m="1" x="146"/>
        <item m="1" x="50"/>
        <item m="1" x="164"/>
        <item m="1" x="12"/>
        <item m="1" x="112"/>
        <item m="1" x="56"/>
        <item m="1" x="161"/>
        <item m="1" x="79"/>
        <item m="1" x="60"/>
        <item m="1" x="20"/>
        <item m="1" x="64"/>
        <item m="1" x="143"/>
        <item m="1" x="106"/>
        <item m="1" x="81"/>
        <item m="1" x="14"/>
        <item m="1" x="111"/>
        <item m="1" x="139"/>
        <item m="1" x="157"/>
        <item m="1" x="84"/>
        <item m="1" x="68"/>
        <item m="1" x="155"/>
        <item m="1" x="35"/>
        <item m="1" x="63"/>
        <item m="1" x="124"/>
        <item m="1" x="93"/>
        <item m="1" x="9"/>
        <item m="1" x="135"/>
        <item m="1" x="77"/>
        <item m="1" x="109"/>
        <item m="1" x="52"/>
        <item m="1" x="75"/>
        <item m="1" x="65"/>
        <item m="1" x="24"/>
        <item m="1" x="98"/>
        <item m="1" x="57"/>
        <item m="1" x="36"/>
        <item m="1" x="162"/>
        <item m="1" x="119"/>
        <item m="1" x="43"/>
        <item m="1" x="133"/>
        <item m="1" x="19"/>
        <item m="1" x="160"/>
        <item m="1" x="122"/>
        <item m="1" x="144"/>
        <item m="1" x="123"/>
        <item m="1" x="153"/>
        <item m="1" x="11"/>
        <item m="1" x="46"/>
        <item m="1" x="44"/>
        <item m="1" x="39"/>
        <item m="1" x="32"/>
        <item m="1" x="156"/>
        <item m="1" x="107"/>
        <item m="1" x="10"/>
        <item x="8"/>
        <item m="1" x="116"/>
        <item m="1" x="13"/>
        <item m="1" x="58"/>
        <item m="1" x="92"/>
        <item m="1" x="67"/>
        <item m="1" x="83"/>
        <item m="1" x="138"/>
        <item m="1" x="71"/>
        <item m="1" x="130"/>
        <item m="1" x="136"/>
        <item m="1" x="90"/>
        <item m="1" x="47"/>
        <item m="1" x="30"/>
        <item m="1" x="40"/>
        <item m="1" x="61"/>
        <item m="1" x="76"/>
        <item m="1" x="27"/>
        <item m="1" x="82"/>
        <item m="1" x="137"/>
        <item m="1" x="108"/>
        <item m="1" x="23"/>
        <item m="1" x="150"/>
        <item m="1" x="28"/>
        <item m="1" x="95"/>
        <item m="1" x="121"/>
        <item m="1" x="86"/>
        <item m="1" x="21"/>
        <item m="1" x="33"/>
        <item m="1" x="165"/>
        <item m="1" x="16"/>
        <item m="1" x="134"/>
        <item m="1" x="141"/>
        <item m="1" x="145"/>
        <item m="1" x="131"/>
        <item m="1" x="78"/>
        <item m="1" x="22"/>
        <item m="1" x="62"/>
        <item m="1" x="88"/>
        <item m="1" x="99"/>
        <item m="1" x="59"/>
        <item m="1" x="158"/>
        <item x="3"/>
        <item m="1" x="70"/>
        <item m="1" x="128"/>
        <item m="1" x="117"/>
        <item x="4"/>
        <item x="5"/>
        <item t="default"/>
      </items>
    </pivotField>
    <pivotField compact="0" outline="0" showAll="0"/>
    <pivotField compact="0" outline="0" showAll="0"/>
    <pivotField compact="0" outline="0" showAll="0"/>
  </pivotFields>
  <rowFields count="3">
    <field x="0"/>
    <field x="1"/>
    <field x="5"/>
  </rowFields>
  <rowItems count="9">
    <i>
      <x v="1"/>
      <x v="9"/>
      <x v="11"/>
    </i>
    <i>
      <x v="6"/>
      <x v="14"/>
      <x v="48"/>
    </i>
    <i>
      <x v="7"/>
      <x v="12"/>
      <x v="160"/>
    </i>
    <i>
      <x v="9"/>
      <x v="26"/>
      <x v="164"/>
    </i>
    <i>
      <x v="11"/>
      <x/>
      <x v="165"/>
    </i>
    <i>
      <x v="16"/>
      <x v="20"/>
      <x v="63"/>
    </i>
    <i>
      <x v="17"/>
      <x v="5"/>
      <x v="3"/>
    </i>
    <i>
      <x v="19"/>
      <x v="7"/>
      <x v="118"/>
    </i>
    <i t="grand">
      <x/>
    </i>
  </rowItems>
  <colItems count="1">
    <i/>
  </colItems>
  <formats count="22">
    <format dxfId="539">
      <pivotArea field="1" type="button" dataOnly="0" labelOnly="1" outline="0" axis="axisRow" fieldPosition="1"/>
    </format>
    <format dxfId="538">
      <pivotArea field="2" type="button" dataOnly="0" labelOnly="1" outline="0"/>
    </format>
    <format dxfId="537">
      <pivotArea field="1" type="button" dataOnly="0" labelOnly="1" outline="0" axis="axisRow" fieldPosition="1"/>
    </format>
    <format dxfId="536">
      <pivotArea field="2" type="button" dataOnly="0" labelOnly="1" outline="0"/>
    </format>
    <format dxfId="535">
      <pivotArea field="1" type="button" dataOnly="0" labelOnly="1" outline="0" axis="axisRow" fieldPosition="1"/>
    </format>
    <format dxfId="534">
      <pivotArea field="2" type="button" dataOnly="0" labelOnly="1" outline="0"/>
    </format>
    <format dxfId="533">
      <pivotArea type="all" dataOnly="0" outline="0" fieldPosition="0"/>
    </format>
    <format dxfId="532">
      <pivotArea field="1" type="button" dataOnly="0" labelOnly="1" outline="0" axis="axisRow" fieldPosition="1"/>
    </format>
    <format dxfId="531">
      <pivotArea field="2" type="button" dataOnly="0" labelOnly="1" outline="0"/>
    </format>
    <format dxfId="530">
      <pivotArea dataOnly="0" labelOnly="1" outline="0" fieldPosition="0">
        <references count="1">
          <reference field="1" count="0"/>
        </references>
      </pivotArea>
    </format>
    <format dxfId="529">
      <pivotArea dataOnly="0" labelOnly="1" grandRow="1" outline="0" fieldPosition="0"/>
    </format>
    <format dxfId="528">
      <pivotArea field="0" type="button" dataOnly="0" labelOnly="1" outline="0" axis="axisRow" fieldPosition="0"/>
    </format>
    <format dxfId="527">
      <pivotArea dataOnly="0" labelOnly="1" outline="0" fieldPosition="0">
        <references count="1">
          <reference field="0" count="9">
            <x v="2"/>
            <x v="4"/>
            <x v="5"/>
            <x v="8"/>
            <x v="13"/>
            <x v="15"/>
            <x v="16"/>
            <x v="18"/>
            <x v="23"/>
          </reference>
        </references>
      </pivotArea>
    </format>
    <format dxfId="526">
      <pivotArea field="5" type="button" dataOnly="0" labelOnly="1" outline="0" axis="axisRow" fieldPosition="2"/>
    </format>
    <format dxfId="525">
      <pivotArea dataOnly="0" labelOnly="1" grandRow="1" outline="0" fieldPosition="0"/>
    </format>
    <format dxfId="524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12"/>
          </reference>
          <reference field="5" count="1">
            <x v="0"/>
          </reference>
        </references>
      </pivotArea>
    </format>
    <format dxfId="523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0"/>
          </reference>
          <reference field="5" count="1">
            <x v="5"/>
          </reference>
        </references>
      </pivotArea>
    </format>
    <format dxfId="522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"/>
          </reference>
          <reference field="5" count="1">
            <x v="1"/>
          </reference>
        </references>
      </pivotArea>
    </format>
    <format dxfId="521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7"/>
          </reference>
          <reference field="5" count="1">
            <x v="3"/>
          </reference>
        </references>
      </pivotArea>
    </format>
    <format dxfId="52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6"/>
          </reference>
          <reference field="5" count="1">
            <x v="2"/>
          </reference>
        </references>
      </pivotArea>
    </format>
    <format dxfId="519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23"/>
          </reference>
          <reference field="5" count="1">
            <x v="0"/>
          </reference>
        </references>
      </pivotArea>
    </format>
    <format dxfId="518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5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100-000000000000}" name="TablaDinámica15" cacheId="2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B3:D14" firstHeaderRow="1" firstDataRow="1" firstDataCol="3"/>
  <pivotFields count="9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axis="axisRow" compact="0" outline="0" showAll="0">
      <items count="181">
        <item m="1" x="164"/>
        <item m="1" x="116"/>
        <item m="1" x="170"/>
        <item m="1" x="36"/>
        <item m="1" x="157"/>
        <item m="1" x="175"/>
        <item m="1" x="114"/>
        <item m="1" x="179"/>
        <item h="1" x="0"/>
        <item m="1" x="28"/>
        <item m="1" x="64"/>
        <item x="5"/>
        <item m="1" x="56"/>
        <item m="1" x="73"/>
        <item m="1" x="89"/>
        <item m="1" x="124"/>
        <item m="1" x="33"/>
        <item m="1" x="178"/>
        <item m="1" x="70"/>
        <item m="1" x="137"/>
        <item m="1" x="21"/>
        <item m="1" x="134"/>
        <item m="1" x="167"/>
        <item m="1" x="55"/>
        <item m="1" x="61"/>
        <item m="1" x="104"/>
        <item m="1" x="165"/>
        <item m="1" x="144"/>
        <item m="1" x="68"/>
        <item m="1" x="152"/>
        <item m="1" x="163"/>
        <item m="1" x="84"/>
        <item m="1" x="109"/>
        <item m="1" x="145"/>
        <item m="1" x="112"/>
        <item m="1" x="27"/>
        <item m="1" x="60"/>
        <item m="1" x="81"/>
        <item m="1" x="29"/>
        <item m="1" x="24"/>
        <item m="1" x="65"/>
        <item m="1" x="169"/>
        <item m="1" x="17"/>
        <item m="1" x="13"/>
        <item m="1" x="14"/>
        <item m="1" x="31"/>
        <item m="1" x="129"/>
        <item m="1" x="119"/>
        <item m="1" x="172"/>
        <item m="1" x="111"/>
        <item m="1" x="58"/>
        <item m="1" x="136"/>
        <item m="1" x="76"/>
        <item m="1" x="79"/>
        <item m="1" x="125"/>
        <item m="1" x="66"/>
        <item m="1" x="95"/>
        <item m="1" x="103"/>
        <item m="1" x="100"/>
        <item m="1" x="141"/>
        <item m="1" x="74"/>
        <item m="1" x="115"/>
        <item m="1" x="117"/>
        <item m="1" x="99"/>
        <item m="1" x="105"/>
        <item m="1" x="23"/>
        <item m="1" x="147"/>
        <item m="1" x="160"/>
        <item m="1" x="34"/>
        <item m="1" x="42"/>
        <item m="1" x="143"/>
        <item m="1" x="78"/>
        <item m="1" x="35"/>
        <item m="1" x="161"/>
        <item m="1" x="80"/>
        <item m="1" x="38"/>
        <item m="1" x="102"/>
        <item m="1" x="39"/>
        <item m="1" x="87"/>
        <item m="1" x="77"/>
        <item m="1" x="32"/>
        <item m="1" x="131"/>
        <item m="1" x="54"/>
        <item m="1" x="142"/>
        <item m="1" x="82"/>
        <item m="1" x="94"/>
        <item m="1" x="97"/>
        <item m="1" x="59"/>
        <item m="1" x="108"/>
        <item m="1" x="101"/>
        <item m="1" x="85"/>
        <item m="1" x="166"/>
        <item m="1" x="53"/>
        <item m="1" x="51"/>
        <item m="1" x="107"/>
        <item m="1" x="48"/>
        <item m="1" x="45"/>
        <item m="1" x="148"/>
        <item m="1" x="63"/>
        <item m="1" x="149"/>
        <item m="1" x="121"/>
        <item m="1" x="171"/>
        <item m="1" x="72"/>
        <item m="1" x="57"/>
        <item m="1" x="15"/>
        <item m="1" x="156"/>
        <item m="1" x="67"/>
        <item m="1" x="168"/>
        <item m="1" x="96"/>
        <item m="1" x="75"/>
        <item m="1" x="43"/>
        <item m="1" x="26"/>
        <item m="1" x="50"/>
        <item m="1" x="154"/>
        <item m="1" x="173"/>
        <item m="1" x="16"/>
        <item m="1" x="12"/>
        <item m="1" x="93"/>
        <item m="1" x="162"/>
        <item m="1" x="52"/>
        <item m="1" x="126"/>
        <item m="1" x="62"/>
        <item m="1" x="123"/>
        <item m="1" x="71"/>
        <item m="1" x="88"/>
        <item m="1" x="47"/>
        <item m="1" x="18"/>
        <item m="1" x="120"/>
        <item m="1" x="151"/>
        <item m="1" x="30"/>
        <item m="1" x="91"/>
        <item m="1" x="98"/>
        <item m="1" x="83"/>
        <item m="1" x="139"/>
        <item m="1" x="130"/>
        <item m="1" x="133"/>
        <item m="1" x="86"/>
        <item m="1" x="177"/>
        <item m="1" x="176"/>
        <item m="1" x="128"/>
        <item m="1" x="132"/>
        <item m="1" x="41"/>
        <item m="1" x="20"/>
        <item m="1" x="44"/>
        <item m="1" x="49"/>
        <item m="1" x="135"/>
        <item m="1" x="46"/>
        <item m="1" x="106"/>
        <item m="1" x="118"/>
        <item m="1" x="37"/>
        <item m="1" x="22"/>
        <item m="1" x="90"/>
        <item m="1" x="92"/>
        <item m="1" x="122"/>
        <item m="1" x="153"/>
        <item m="1" x="40"/>
        <item m="1" x="146"/>
        <item m="1" x="174"/>
        <item m="1" x="127"/>
        <item m="1" x="25"/>
        <item m="1" x="11"/>
        <item m="1" x="159"/>
        <item m="1" x="158"/>
        <item m="1" x="140"/>
        <item m="1" x="19"/>
        <item m="1" x="110"/>
        <item x="2"/>
        <item m="1" x="69"/>
        <item m="1" x="150"/>
        <item m="1" x="113"/>
        <item m="1" x="155"/>
        <item m="1" x="138"/>
        <item x="1"/>
        <item x="3"/>
        <item x="4"/>
        <item x="6"/>
        <item x="7"/>
        <item x="8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0"/>
    <field x="1"/>
    <field x="2"/>
  </rowFields>
  <rowItems count="11">
    <i>
      <x v="6"/>
      <x v="14"/>
      <x v="172"/>
    </i>
    <i>
      <x v="7"/>
      <x v="12"/>
      <x v="166"/>
    </i>
    <i>
      <x v="9"/>
      <x v="26"/>
      <x v="173"/>
    </i>
    <i>
      <x v="14"/>
      <x v="4"/>
      <x v="174"/>
    </i>
    <i>
      <x v="15"/>
      <x v="19"/>
      <x v="11"/>
    </i>
    <i>
      <x v="16"/>
      <x v="20"/>
      <x v="175"/>
    </i>
    <i>
      <x v="17"/>
      <x v="5"/>
      <x v="176"/>
    </i>
    <i>
      <x v="19"/>
      <x v="7"/>
      <x v="177"/>
    </i>
    <i>
      <x v="20"/>
      <x v="8"/>
      <x v="178"/>
    </i>
    <i>
      <x v="23"/>
      <x v="22"/>
      <x v="179"/>
    </i>
    <i t="grand">
      <x/>
    </i>
  </rowItems>
  <colItems count="1">
    <i/>
  </colItems>
  <formats count="51">
    <format dxfId="590">
      <pivotArea field="1" type="button" dataOnly="0" labelOnly="1" outline="0" axis="axisRow" fieldPosition="1"/>
    </format>
    <format dxfId="589">
      <pivotArea field="2" type="button" dataOnly="0" labelOnly="1" outline="0" axis="axisRow" fieldPosition="2"/>
    </format>
    <format dxfId="588">
      <pivotArea field="1" type="button" dataOnly="0" labelOnly="1" outline="0" axis="axisRow" fieldPosition="1"/>
    </format>
    <format dxfId="587">
      <pivotArea field="2" type="button" dataOnly="0" labelOnly="1" outline="0" axis="axisRow" fieldPosition="2"/>
    </format>
    <format dxfId="586">
      <pivotArea field="1" type="button" dataOnly="0" labelOnly="1" outline="0" axis="axisRow" fieldPosition="1"/>
    </format>
    <format dxfId="585">
      <pivotArea field="2" type="button" dataOnly="0" labelOnly="1" outline="0" axis="axisRow" fieldPosition="2"/>
    </format>
    <format dxfId="584">
      <pivotArea type="all" dataOnly="0" outline="0" fieldPosition="0"/>
    </format>
    <format dxfId="583">
      <pivotArea field="1" type="button" dataOnly="0" labelOnly="1" outline="0" axis="axisRow" fieldPosition="1"/>
    </format>
    <format dxfId="582">
      <pivotArea field="2" type="button" dataOnly="0" labelOnly="1" outline="0" axis="axisRow" fieldPosition="2"/>
    </format>
    <format dxfId="581">
      <pivotArea dataOnly="0" labelOnly="1" outline="0" fieldPosition="0">
        <references count="1">
          <reference field="1" count="0"/>
        </references>
      </pivotArea>
    </format>
    <format dxfId="580">
      <pivotArea dataOnly="0" labelOnly="1" grandRow="1" outline="0" fieldPosition="0"/>
    </format>
    <format dxfId="579">
      <pivotArea dataOnly="0" labelOnly="1" outline="0" fieldPosition="0">
        <references count="2">
          <reference field="1" count="1" selected="0">
            <x v="0"/>
          </reference>
          <reference field="2" count="1">
            <x v="8"/>
          </reference>
        </references>
      </pivotArea>
    </format>
    <format dxfId="578">
      <pivotArea dataOnly="0" labelOnly="1" outline="0" fieldPosition="0">
        <references count="2">
          <reference field="1" count="1" selected="0">
            <x v="1"/>
          </reference>
          <reference field="2" count="1">
            <x v="8"/>
          </reference>
        </references>
      </pivotArea>
    </format>
    <format dxfId="577">
      <pivotArea dataOnly="0" labelOnly="1" outline="0" fieldPosition="0">
        <references count="2">
          <reference field="1" count="1" selected="0">
            <x v="2"/>
          </reference>
          <reference field="2" count="1">
            <x v="8"/>
          </reference>
        </references>
      </pivotArea>
    </format>
    <format dxfId="576">
      <pivotArea dataOnly="0" labelOnly="1" outline="0" fieldPosition="0">
        <references count="2">
          <reference field="1" count="1" selected="0">
            <x v="3"/>
          </reference>
          <reference field="2" count="1">
            <x v="8"/>
          </reference>
        </references>
      </pivotArea>
    </format>
    <format dxfId="575">
      <pivotArea dataOnly="0" labelOnly="1" outline="0" fieldPosition="0">
        <references count="2">
          <reference field="1" count="1" selected="0">
            <x v="4"/>
          </reference>
          <reference field="2" count="1">
            <x v="4"/>
          </reference>
        </references>
      </pivotArea>
    </format>
    <format dxfId="574">
      <pivotArea dataOnly="0" labelOnly="1" outline="0" fieldPosition="0">
        <references count="2">
          <reference field="1" count="1" selected="0">
            <x v="5"/>
          </reference>
          <reference field="2" count="1">
            <x v="1"/>
          </reference>
        </references>
      </pivotArea>
    </format>
    <format dxfId="573">
      <pivotArea dataOnly="0" labelOnly="1" outline="0" fieldPosition="0">
        <references count="2">
          <reference field="1" count="1" selected="0">
            <x v="6"/>
          </reference>
          <reference field="2" count="1">
            <x v="8"/>
          </reference>
        </references>
      </pivotArea>
    </format>
    <format dxfId="572">
      <pivotArea dataOnly="0" labelOnly="1" outline="0" fieldPosition="0">
        <references count="2">
          <reference field="1" count="1" selected="0">
            <x v="7"/>
          </reference>
          <reference field="2" count="1">
            <x v="3"/>
          </reference>
        </references>
      </pivotArea>
    </format>
    <format dxfId="571">
      <pivotArea dataOnly="0" labelOnly="1" outline="0" fieldPosition="0">
        <references count="2">
          <reference field="1" count="1" selected="0">
            <x v="8"/>
          </reference>
          <reference field="2" count="1">
            <x v="8"/>
          </reference>
        </references>
      </pivotArea>
    </format>
    <format dxfId="570">
      <pivotArea dataOnly="0" labelOnly="1" outline="0" fieldPosition="0">
        <references count="2">
          <reference field="1" count="1" selected="0">
            <x v="9"/>
          </reference>
          <reference field="2" count="1">
            <x v="8"/>
          </reference>
        </references>
      </pivotArea>
    </format>
    <format dxfId="569">
      <pivotArea dataOnly="0" labelOnly="1" outline="0" fieldPosition="0">
        <references count="2">
          <reference field="1" count="1" selected="0">
            <x v="10"/>
          </reference>
          <reference field="2" count="1">
            <x v="7"/>
          </reference>
        </references>
      </pivotArea>
    </format>
    <format dxfId="568">
      <pivotArea dataOnly="0" labelOnly="1" outline="0" fieldPosition="0">
        <references count="2">
          <reference field="1" count="1" selected="0">
            <x v="11"/>
          </reference>
          <reference field="2" count="1">
            <x v="8"/>
          </reference>
        </references>
      </pivotArea>
    </format>
    <format dxfId="567">
      <pivotArea dataOnly="0" labelOnly="1" outline="0" fieldPosition="0">
        <references count="2">
          <reference field="1" count="1" selected="0">
            <x v="12"/>
          </reference>
          <reference field="2" count="1">
            <x v="8"/>
          </reference>
        </references>
      </pivotArea>
    </format>
    <format dxfId="566">
      <pivotArea dataOnly="0" labelOnly="1" outline="0" fieldPosition="0">
        <references count="2">
          <reference field="1" count="1" selected="0">
            <x v="13"/>
          </reference>
          <reference field="2" count="1">
            <x v="8"/>
          </reference>
        </references>
      </pivotArea>
    </format>
    <format dxfId="565">
      <pivotArea dataOnly="0" labelOnly="1" outline="0" fieldPosition="0">
        <references count="2">
          <reference field="1" count="1" selected="0">
            <x v="14"/>
          </reference>
          <reference field="2" count="1">
            <x v="2"/>
          </reference>
        </references>
      </pivotArea>
    </format>
    <format dxfId="564">
      <pivotArea dataOnly="0" labelOnly="1" outline="0" fieldPosition="0">
        <references count="2">
          <reference field="1" count="1" selected="0">
            <x v="15"/>
          </reference>
          <reference field="2" count="1">
            <x v="5"/>
          </reference>
        </references>
      </pivotArea>
    </format>
    <format dxfId="563">
      <pivotArea dataOnly="0" labelOnly="1" outline="0" fieldPosition="0">
        <references count="2">
          <reference field="1" count="1" selected="0">
            <x v="16"/>
          </reference>
          <reference field="2" count="1">
            <x v="8"/>
          </reference>
        </references>
      </pivotArea>
    </format>
    <format dxfId="562">
      <pivotArea dataOnly="0" labelOnly="1" outline="0" fieldPosition="0">
        <references count="2">
          <reference field="1" count="1" selected="0">
            <x v="17"/>
          </reference>
          <reference field="2" count="1">
            <x v="6"/>
          </reference>
        </references>
      </pivotArea>
    </format>
    <format dxfId="561">
      <pivotArea dataOnly="0" labelOnly="1" outline="0" fieldPosition="0">
        <references count="2">
          <reference field="1" count="1" selected="0">
            <x v="18"/>
          </reference>
          <reference field="2" count="1">
            <x v="8"/>
          </reference>
        </references>
      </pivotArea>
    </format>
    <format dxfId="560">
      <pivotArea dataOnly="0" labelOnly="1" outline="0" fieldPosition="0">
        <references count="2">
          <reference field="1" count="1" selected="0">
            <x v="19"/>
          </reference>
          <reference field="2" count="1">
            <x v="8"/>
          </reference>
        </references>
      </pivotArea>
    </format>
    <format dxfId="559">
      <pivotArea dataOnly="0" labelOnly="1" outline="0" fieldPosition="0">
        <references count="2">
          <reference field="1" count="1" selected="0">
            <x v="20"/>
          </reference>
          <reference field="2" count="1">
            <x v="0"/>
          </reference>
        </references>
      </pivotArea>
    </format>
    <format dxfId="558">
      <pivotArea dataOnly="0" labelOnly="1" outline="0" fieldPosition="0">
        <references count="2">
          <reference field="1" count="1" selected="0">
            <x v="21"/>
          </reference>
          <reference field="2" count="1">
            <x v="8"/>
          </reference>
        </references>
      </pivotArea>
    </format>
    <format dxfId="557">
      <pivotArea dataOnly="0" labelOnly="1" outline="0" fieldPosition="0">
        <references count="2">
          <reference field="1" count="1" selected="0">
            <x v="22"/>
          </reference>
          <reference field="2" count="1">
            <x v="8"/>
          </reference>
        </references>
      </pivotArea>
    </format>
    <format dxfId="556">
      <pivotArea dataOnly="0" labelOnly="1" outline="0" fieldPosition="0">
        <references count="2">
          <reference field="1" count="1" selected="0">
            <x v="23"/>
          </reference>
          <reference field="2" count="1">
            <x v="0"/>
          </reference>
        </references>
      </pivotArea>
    </format>
    <format dxfId="555">
      <pivotArea field="0" type="button" dataOnly="0" labelOnly="1" outline="0" axis="axisRow" fieldPosition="0"/>
    </format>
    <format dxfId="554">
      <pivotArea dataOnly="0" labelOnly="1" outline="0" fieldPosition="0">
        <references count="1">
          <reference field="0" count="9">
            <x v="2"/>
            <x v="4"/>
            <x v="5"/>
            <x v="8"/>
            <x v="13"/>
            <x v="15"/>
            <x v="16"/>
            <x v="18"/>
            <x v="23"/>
          </reference>
        </references>
      </pivotArea>
    </format>
    <format dxfId="553">
      <pivotArea field="2" type="button" dataOnly="0" labelOnly="1" outline="0" axis="axisRow" fieldPosition="2"/>
    </format>
    <format dxfId="552">
      <pivotArea dataOnly="0" labelOnly="1" grandRow="1" outline="0" fieldPosition="0"/>
    </format>
    <format dxfId="55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"/>
          </reference>
          <reference field="2" count="1">
            <x v="7"/>
          </reference>
        </references>
      </pivotArea>
    </format>
    <format dxfId="550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2" count="1">
            <x v="2"/>
          </reference>
        </references>
      </pivotArea>
    </format>
    <format dxfId="549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0"/>
          </reference>
          <reference field="2" count="1">
            <x v="0"/>
          </reference>
        </references>
      </pivotArea>
    </format>
    <format dxfId="548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"/>
          </reference>
          <reference field="2" count="1">
            <x v="1"/>
          </reference>
        </references>
      </pivotArea>
    </format>
    <format dxfId="547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5"/>
          </reference>
          <reference field="2" count="1">
            <x v="5"/>
          </reference>
        </references>
      </pivotArea>
    </format>
    <format dxfId="546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3"/>
          </reference>
          <reference field="2" count="1">
            <x v="49"/>
          </reference>
        </references>
      </pivotArea>
    </format>
    <format dxfId="545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4"/>
          </reference>
          <reference field="2" count="1">
            <x v="4"/>
          </reference>
        </references>
      </pivotArea>
    </format>
    <format dxfId="544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0"/>
          </reference>
          <reference field="2" count="1">
            <x v="73"/>
          </reference>
        </references>
      </pivotArea>
    </format>
    <format dxfId="543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"/>
          </reference>
          <reference field="2" count="1">
            <x v="62"/>
          </reference>
        </references>
      </pivotArea>
    </format>
    <format dxfId="542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7"/>
          </reference>
          <reference field="2" count="1">
            <x v="3"/>
          </reference>
        </references>
      </pivotArea>
    </format>
    <format dxfId="541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23"/>
          </reference>
          <reference field="2" count="1">
            <x v="0"/>
          </reference>
        </references>
      </pivotArea>
    </format>
    <format dxfId="540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7"/>
          </reference>
          <reference field="2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100-000003000000}" name="TablaDinámica50" cacheId="5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J31:L39" firstHeaderRow="1" firstDataRow="1" firstDataCol="3"/>
  <pivotFields count="9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compact="0" outline="0" showAll="0">
      <items count="169">
        <item m="1" x="147"/>
        <item m="1" x="98"/>
        <item h="1" x="0"/>
        <item m="1" x="90"/>
        <item m="1" x="94"/>
        <item m="1" x="78"/>
        <item m="1" x="129"/>
        <item m="1" x="45"/>
        <item h="1" m="1" x="43"/>
        <item h="1" m="1" x="86"/>
        <item h="1" m="1" x="71"/>
        <item h="1" m="1" x="151"/>
        <item h="1" m="1" x="33"/>
        <item h="1" m="1" x="157"/>
        <item h="1" x="8"/>
        <item h="1" x="4"/>
        <item h="1" m="1" x="100"/>
        <item h="1" m="1" x="55"/>
        <item h="1" m="1" x="53"/>
        <item h="1" m="1" x="11"/>
        <item h="1" m="1" x="59"/>
        <item h="1" m="1" x="58"/>
        <item h="1" m="1" x="32"/>
        <item h="1" m="1" x="114"/>
        <item h="1" m="1" x="57"/>
        <item h="1" m="1" x="164"/>
        <item h="1" m="1" x="127"/>
        <item h="1" m="1" x="17"/>
        <item h="1" m="1" x="65"/>
        <item h="1" m="1" x="123"/>
        <item h="1" m="1" x="158"/>
        <item h="1" m="1" x="31"/>
        <item h="1" m="1" x="161"/>
        <item h="1" m="1" x="93"/>
        <item h="1" m="1" x="23"/>
        <item h="1" m="1" x="49"/>
        <item h="1" m="1" x="96"/>
        <item h="1" m="1" x="80"/>
        <item h="1" m="1" x="128"/>
        <item h="1" m="1" x="124"/>
        <item h="1" m="1" x="137"/>
        <item h="1" m="1" x="118"/>
        <item h="1" m="1" x="102"/>
        <item h="1" m="1" x="115"/>
        <item h="1" m="1" x="85"/>
        <item h="1" m="1" x="74"/>
        <item h="1" m="1" x="156"/>
        <item h="1" m="1" x="104"/>
        <item h="1" m="1" x="167"/>
        <item h="1" m="1" x="87"/>
        <item h="1" m="1" x="110"/>
        <item h="1" m="1" x="36"/>
        <item h="1" m="1" x="131"/>
        <item h="1" m="1" x="9"/>
        <item h="1" m="1" x="145"/>
        <item h="1" m="1" x="146"/>
        <item h="1" m="1" x="149"/>
        <item h="1" m="1" x="38"/>
        <item h="1" m="1" x="16"/>
        <item h="1" m="1" x="21"/>
        <item h="1" m="1" x="139"/>
        <item h="1" m="1" x="39"/>
        <item h="1" m="1" x="63"/>
        <item h="1" m="1" x="67"/>
        <item h="1" m="1" x="24"/>
        <item h="1" m="1" x="106"/>
        <item h="1" m="1" x="119"/>
        <item h="1" m="1" x="66"/>
        <item h="1" m="1" x="19"/>
        <item h="1" m="1" x="28"/>
        <item h="1" m="1" x="121"/>
        <item h="1" m="1" x="56"/>
        <item h="1" m="1" x="89"/>
        <item h="1" m="1" x="108"/>
        <item h="1" m="1" x="154"/>
        <item h="1" m="1" x="29"/>
        <item h="1" m="1" x="153"/>
        <item h="1" m="1" x="130"/>
        <item h="1" m="1" x="51"/>
        <item h="1" m="1" x="143"/>
        <item h="1" m="1" x="52"/>
        <item h="1" m="1" x="40"/>
        <item h="1" m="1" x="160"/>
        <item h="1" m="1" x="68"/>
        <item h="1" m="1" x="82"/>
        <item h="1" m="1" x="79"/>
        <item h="1" m="1" x="150"/>
        <item h="1" m="1" x="117"/>
        <item h="1" m="1" x="163"/>
        <item h="1" m="1" x="18"/>
        <item h="1" m="1" x="107"/>
        <item h="1" x="6"/>
        <item h="1" m="1" x="15"/>
        <item h="1" m="1" x="88"/>
        <item h="1" m="1" x="165"/>
        <item h="1" m="1" x="54"/>
        <item h="1" m="1" x="35"/>
        <item h="1" m="1" x="144"/>
        <item h="1" m="1" x="10"/>
        <item h="1" m="1" x="62"/>
        <item h="1" m="1" x="25"/>
        <item h="1" m="1" x="91"/>
        <item h="1" m="1" x="112"/>
        <item h="1" m="1" x="61"/>
        <item h="1" m="1" x="14"/>
        <item h="1" m="1" x="132"/>
        <item h="1" m="1" x="136"/>
        <item h="1" m="1" x="64"/>
        <item h="1" m="1" x="77"/>
        <item h="1" m="1" x="135"/>
        <item h="1" m="1" x="27"/>
        <item h="1" m="1" x="134"/>
        <item h="1" m="1" x="109"/>
        <item h="1" m="1" x="141"/>
        <item h="1" m="1" x="73"/>
        <item h="1" m="1" x="26"/>
        <item h="1" m="1" x="69"/>
        <item h="1" m="1" x="20"/>
        <item h="1" m="1" x="75"/>
        <item h="1" x="7"/>
        <item h="1" m="1" x="95"/>
        <item h="1" m="1" x="50"/>
        <item h="1" m="1" x="122"/>
        <item h="1" m="1" x="83"/>
        <item h="1" m="1" x="138"/>
        <item h="1" m="1" x="47"/>
        <item h="1" m="1" x="142"/>
        <item h="1" m="1" x="166"/>
        <item h="1" m="1" x="162"/>
        <item h="1" m="1" x="103"/>
        <item h="1" m="1" x="97"/>
        <item h="1" m="1" x="101"/>
        <item h="1" m="1" x="76"/>
        <item h="1" m="1" x="126"/>
        <item h="1" m="1" x="12"/>
        <item h="1" m="1" x="159"/>
        <item h="1" m="1" x="60"/>
        <item h="1" m="1" x="70"/>
        <item h="1" m="1" x="72"/>
        <item h="1" m="1" x="111"/>
        <item h="1" m="1" x="148"/>
        <item h="1" m="1" x="48"/>
        <item h="1" m="1" x="120"/>
        <item h="1" m="1" x="152"/>
        <item h="1" m="1" x="140"/>
        <item h="1" m="1" x="30"/>
        <item h="1" m="1" x="37"/>
        <item h="1" m="1" x="81"/>
        <item h="1" m="1" x="13"/>
        <item h="1" m="1" x="46"/>
        <item h="1" m="1" x="41"/>
        <item h="1" m="1" x="116"/>
        <item h="1" m="1" x="84"/>
        <item h="1" m="1" x="92"/>
        <item h="1" m="1" x="113"/>
        <item h="1" m="1" x="155"/>
        <item h="1" m="1" x="34"/>
        <item h="1" m="1" x="44"/>
        <item h="1" m="1" x="99"/>
        <item h="1" m="1" x="125"/>
        <item h="1" m="1" x="133"/>
        <item h="1" m="1" x="42"/>
        <item h="1" m="1" x="105"/>
        <item h="1" m="1" x="22"/>
        <item h="1" x="1"/>
        <item h="1" x="2"/>
        <item h="1" x="3"/>
        <item h="1" x="5"/>
        <item t="default"/>
      </items>
    </pivotField>
    <pivotField axis="axisRow" compact="0" outline="0" showAll="0">
      <items count="167">
        <item m="1" x="152"/>
        <item m="1" x="50"/>
        <item m="1" x="55"/>
        <item m="1" x="44"/>
        <item m="1" x="78"/>
        <item h="1" x="0"/>
        <item m="1" x="36"/>
        <item m="1" x="123"/>
        <item m="1" x="139"/>
        <item m="1" x="105"/>
        <item m="1" x="40"/>
        <item m="1" x="121"/>
        <item m="1" x="146"/>
        <item m="1" x="80"/>
        <item m="1" x="9"/>
        <item m="1" x="76"/>
        <item m="1" x="61"/>
        <item m="1" x="22"/>
        <item m="1" x="159"/>
        <item m="1" x="133"/>
        <item m="1" x="144"/>
        <item m="1" x="75"/>
        <item m="1" x="79"/>
        <item m="1" x="85"/>
        <item m="1" x="99"/>
        <item m="1" x="102"/>
        <item m="1" x="119"/>
        <item m="1" x="116"/>
        <item m="1" x="134"/>
        <item m="1" x="59"/>
        <item m="1" x="41"/>
        <item m="1" x="16"/>
        <item m="1" x="165"/>
        <item m="1" x="132"/>
        <item x="6"/>
        <item x="4"/>
        <item m="1" x="71"/>
        <item m="1" x="160"/>
        <item m="1" x="62"/>
        <item m="1" x="68"/>
        <item m="1" x="11"/>
        <item m="1" x="161"/>
        <item m="1" x="122"/>
        <item m="1" x="120"/>
        <item m="1" x="20"/>
        <item m="1" x="109"/>
        <item m="1" x="45"/>
        <item m="1" x="12"/>
        <item m="1" x="15"/>
        <item m="1" x="21"/>
        <item m="1" x="129"/>
        <item m="1" x="67"/>
        <item m="1" x="156"/>
        <item m="1" x="115"/>
        <item m="1" x="30"/>
        <item m="1" x="111"/>
        <item m="1" x="154"/>
        <item m="1" x="104"/>
        <item m="1" x="54"/>
        <item m="1" x="70"/>
        <item m="1" x="28"/>
        <item m="1" x="148"/>
        <item m="1" x="38"/>
        <item m="1" x="64"/>
        <item m="1" x="96"/>
        <item m="1" x="23"/>
        <item m="1" x="39"/>
        <item m="1" x="162"/>
        <item m="1" x="126"/>
        <item m="1" x="95"/>
        <item m="1" x="113"/>
        <item m="1" x="107"/>
        <item m="1" x="90"/>
        <item m="1" x="141"/>
        <item m="1" x="135"/>
        <item m="1" x="147"/>
        <item m="1" x="48"/>
        <item m="1" x="155"/>
        <item m="1" x="112"/>
        <item m="1" x="57"/>
        <item m="1" x="35"/>
        <item m="1" x="18"/>
        <item m="1" x="19"/>
        <item m="1" x="94"/>
        <item m="1" x="150"/>
        <item m="1" x="60"/>
        <item m="1" x="43"/>
        <item m="1" x="145"/>
        <item m="1" x="13"/>
        <item m="1" x="69"/>
        <item m="1" x="24"/>
        <item m="1" x="66"/>
        <item m="1" x="32"/>
        <item m="1" x="17"/>
        <item m="1" x="158"/>
        <item m="1" x="84"/>
        <item m="1" x="138"/>
        <item m="1" x="157"/>
        <item m="1" x="87"/>
        <item m="1" x="137"/>
        <item m="1" x="114"/>
        <item m="1" x="86"/>
        <item m="1" x="33"/>
        <item m="1" x="81"/>
        <item m="1" x="125"/>
        <item m="1" x="49"/>
        <item m="1" x="56"/>
        <item m="1" x="128"/>
        <item m="1" x="97"/>
        <item m="1" x="46"/>
        <item m="1" x="142"/>
        <item m="1" x="73"/>
        <item m="1" x="151"/>
        <item m="1" x="108"/>
        <item m="1" x="103"/>
        <item m="1" x="106"/>
        <item m="1" x="82"/>
        <item m="1" x="131"/>
        <item m="1" x="110"/>
        <item m="1" x="26"/>
        <item m="1" x="14"/>
        <item m="1" x="65"/>
        <item m="1" x="77"/>
        <item m="1" x="8"/>
        <item m="1" x="163"/>
        <item m="1" x="101"/>
        <item m="1" x="10"/>
        <item m="1" x="153"/>
        <item m="1" x="53"/>
        <item m="1" x="118"/>
        <item m="1" x="47"/>
        <item m="1" x="72"/>
        <item m="1" x="83"/>
        <item m="1" x="37"/>
        <item m="1" x="51"/>
        <item m="1" x="58"/>
        <item m="1" x="136"/>
        <item m="1" x="91"/>
        <item m="1" x="88"/>
        <item m="1" x="31"/>
        <item m="1" x="117"/>
        <item m="1" x="127"/>
        <item m="1" x="143"/>
        <item m="1" x="89"/>
        <item m="1" x="164"/>
        <item m="1" x="42"/>
        <item m="1" x="63"/>
        <item m="1" x="27"/>
        <item m="1" x="130"/>
        <item m="1" x="52"/>
        <item m="1" x="93"/>
        <item m="1" x="25"/>
        <item x="1"/>
        <item m="1" x="140"/>
        <item m="1" x="34"/>
        <item m="1" x="29"/>
        <item m="1" x="124"/>
        <item m="1" x="92"/>
        <item x="2"/>
        <item m="1" x="100"/>
        <item m="1" x="74"/>
        <item m="1" x="98"/>
        <item m="1" x="149"/>
        <item x="3"/>
        <item x="5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0"/>
    <field x="1"/>
    <field x="3"/>
  </rowFields>
  <rowItems count="8">
    <i>
      <x v="6"/>
      <x v="14"/>
      <x v="152"/>
    </i>
    <i>
      <x v="7"/>
      <x v="12"/>
      <x v="158"/>
    </i>
    <i>
      <x v="9"/>
      <x v="26"/>
      <x v="163"/>
    </i>
    <i>
      <x v="11"/>
      <x/>
      <x v="35"/>
    </i>
    <i>
      <x v="16"/>
      <x v="20"/>
      <x v="164"/>
    </i>
    <i>
      <x v="17"/>
      <x v="5"/>
      <x v="34"/>
    </i>
    <i>
      <x v="18"/>
      <x v="6"/>
      <x v="165"/>
    </i>
    <i t="grand">
      <x/>
    </i>
  </rowItems>
  <colItems count="1">
    <i/>
  </colItems>
  <formats count="21">
    <format dxfId="611">
      <pivotArea field="1" type="button" dataOnly="0" labelOnly="1" outline="0" axis="axisRow" fieldPosition="1"/>
    </format>
    <format dxfId="610">
      <pivotArea field="2" type="button" dataOnly="0" labelOnly="1" outline="0"/>
    </format>
    <format dxfId="609">
      <pivotArea field="1" type="button" dataOnly="0" labelOnly="1" outline="0" axis="axisRow" fieldPosition="1"/>
    </format>
    <format dxfId="608">
      <pivotArea field="2" type="button" dataOnly="0" labelOnly="1" outline="0"/>
    </format>
    <format dxfId="607">
      <pivotArea field="1" type="button" dataOnly="0" labelOnly="1" outline="0" axis="axisRow" fieldPosition="1"/>
    </format>
    <format dxfId="606">
      <pivotArea field="2" type="button" dataOnly="0" labelOnly="1" outline="0"/>
    </format>
    <format dxfId="605">
      <pivotArea type="all" dataOnly="0" outline="0" fieldPosition="0"/>
    </format>
    <format dxfId="604">
      <pivotArea field="1" type="button" dataOnly="0" labelOnly="1" outline="0" axis="axisRow" fieldPosition="1"/>
    </format>
    <format dxfId="603">
      <pivotArea field="2" type="button" dataOnly="0" labelOnly="1" outline="0"/>
    </format>
    <format dxfId="602">
      <pivotArea dataOnly="0" labelOnly="1" outline="0" fieldPosition="0">
        <references count="1">
          <reference field="1" count="0"/>
        </references>
      </pivotArea>
    </format>
    <format dxfId="601">
      <pivotArea dataOnly="0" labelOnly="1" grandRow="1" outline="0" fieldPosition="0"/>
    </format>
    <format dxfId="600">
      <pivotArea field="0" type="button" dataOnly="0" labelOnly="1" outline="0" axis="axisRow" fieldPosition="0"/>
    </format>
    <format dxfId="599">
      <pivotArea dataOnly="0" labelOnly="1" outline="0" fieldPosition="0">
        <references count="1">
          <reference field="0" count="9">
            <x v="2"/>
            <x v="4"/>
            <x v="5"/>
            <x v="8"/>
            <x v="13"/>
            <x v="15"/>
            <x v="16"/>
            <x v="18"/>
            <x v="23"/>
          </reference>
        </references>
      </pivotArea>
    </format>
    <format dxfId="598">
      <pivotArea field="3" type="button" dataOnly="0" labelOnly="1" outline="0" axis="axisRow" fieldPosition="2"/>
    </format>
    <format dxfId="597">
      <pivotArea dataOnly="0" labelOnly="1" grandRow="1" outline="0" fieldPosition="0"/>
    </format>
    <format dxfId="59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"/>
          </reference>
          <reference field="3" count="1">
            <x v="4"/>
          </reference>
        </references>
      </pivotArea>
    </format>
    <format dxfId="595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3" count="1">
            <x v="3"/>
          </reference>
        </references>
      </pivotArea>
    </format>
    <format dxfId="594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0"/>
          </reference>
          <reference field="3" count="1">
            <x v="1"/>
          </reference>
        </references>
      </pivotArea>
    </format>
    <format dxfId="593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"/>
          </reference>
          <reference field="3" count="1">
            <x v="1"/>
          </reference>
        </references>
      </pivotArea>
    </format>
    <format dxfId="592">
      <pivotArea dataOnly="0" labelOnly="1" outline="0" fieldPosition="0">
        <references count="3">
          <reference field="0" count="1" selected="0">
            <x v="17"/>
          </reference>
          <reference field="1" count="1" selected="0">
            <x v="6"/>
          </reference>
          <reference field="3" count="1">
            <x v="2"/>
          </reference>
        </references>
      </pivotArea>
    </format>
    <format dxfId="591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7"/>
          </reference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200-000000000000}" name="TablaDinámica42" cacheId="3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C4:E9" firstHeaderRow="1" firstDataRow="1" firstDataCol="3"/>
  <pivotFields count="7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axis="axisRow" compact="0" outline="0" showAll="0">
      <items count="22">
        <item x="4"/>
        <item m="1" x="8"/>
        <item h="1" x="0"/>
        <item m="1" x="13"/>
        <item m="1" x="19"/>
        <item m="1" x="6"/>
        <item m="1" x="15"/>
        <item x="1"/>
        <item x="2"/>
        <item m="1" x="10"/>
        <item m="1" x="9"/>
        <item m="1" x="5"/>
        <item m="1" x="16"/>
        <item m="1" x="11"/>
        <item m="1" x="12"/>
        <item m="1" x="20"/>
        <item m="1" x="7"/>
        <item m="1" x="17"/>
        <item m="1" x="18"/>
        <item m="1" x="14"/>
        <item x="3"/>
        <item t="default"/>
      </items>
    </pivotField>
    <pivotField compact="0" outline="0" showAll="0">
      <items count="35">
        <item x="4"/>
        <item x="0"/>
        <item m="1" x="25"/>
        <item m="1" x="14"/>
        <item m="1" x="12"/>
        <item x="1"/>
        <item m="1" x="9"/>
        <item m="1" x="23"/>
        <item m="1" x="22"/>
        <item m="1" x="19"/>
        <item x="2"/>
        <item m="1" x="33"/>
        <item m="1" x="7"/>
        <item m="1" x="27"/>
        <item m="1" x="30"/>
        <item m="1" x="13"/>
        <item m="1" x="29"/>
        <item m="1" x="32"/>
        <item m="1" x="18"/>
        <item m="1" x="10"/>
        <item m="1" x="6"/>
        <item m="1" x="24"/>
        <item m="1" x="17"/>
        <item m="1" x="20"/>
        <item m="1" x="28"/>
        <item m="1" x="31"/>
        <item m="1" x="16"/>
        <item m="1" x="5"/>
        <item m="1" x="21"/>
        <item m="1" x="11"/>
        <item m="1" x="8"/>
        <item m="1" x="26"/>
        <item m="1" x="15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3">
    <field x="0"/>
    <field x="1"/>
    <field x="2"/>
  </rowFields>
  <rowItems count="5">
    <i>
      <x v="6"/>
      <x v="14"/>
      <x v="7"/>
    </i>
    <i>
      <x v="15"/>
      <x v="19"/>
      <x v="8"/>
    </i>
    <i>
      <x v="16"/>
      <x v="20"/>
      <x v="20"/>
    </i>
    <i>
      <x v="17"/>
      <x v="5"/>
      <x/>
    </i>
    <i t="grand">
      <x/>
    </i>
  </rowItems>
  <colItems count="1">
    <i/>
  </colItems>
  <formats count="11">
    <format dxfId="10">
      <pivotArea field="1" type="button" dataOnly="0" labelOnly="1" outline="0" axis="axisRow" fieldPosition="1"/>
    </format>
    <format dxfId="9">
      <pivotArea field="3" type="button" dataOnly="0" labelOnly="1" outline="0"/>
    </format>
    <format dxfId="8">
      <pivotArea field="1" type="button" dataOnly="0" labelOnly="1" outline="0" axis="axisRow" fieldPosition="1"/>
    </format>
    <format dxfId="7">
      <pivotArea field="3" type="button" dataOnly="0" labelOnly="1" outline="0"/>
    </format>
    <format dxfId="6">
      <pivotArea field="1" type="button" dataOnly="0" labelOnly="1" outline="0" axis="axisRow" fieldPosition="1"/>
    </format>
    <format dxfId="5">
      <pivotArea field="3" type="button" dataOnly="0" labelOnly="1" outline="0"/>
    </format>
    <format dxfId="4">
      <pivotArea type="all" dataOnly="0" outline="0" fieldPosition="0"/>
    </format>
    <format dxfId="3">
      <pivotArea field="1" type="button" dataOnly="0" labelOnly="1" outline="0" axis="axisRow" fieldPosition="1"/>
    </format>
    <format dxfId="2">
      <pivotArea field="3" type="button" dataOnly="0" labelOnly="1" outline="0"/>
    </format>
    <format dxfId="1">
      <pivotArea dataOnly="0" labelOnly="1" outline="0" fieldPosition="0">
        <references count="1">
          <reference field="1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200-000004000000}" name="TablaDinámica46" cacheId="3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C116:E120" firstHeaderRow="1" firstDataRow="1" firstDataCol="3"/>
  <pivotFields count="7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compact="0" outline="0" showAll="0"/>
    <pivotField compact="0" outline="0" showAll="0">
      <items count="35">
        <item x="4"/>
        <item h="1" x="0"/>
        <item m="1" x="25"/>
        <item m="1" x="14"/>
        <item m="1" x="12"/>
        <item h="1" x="1"/>
        <item h="1" m="1" x="9"/>
        <item h="1" m="1" x="23"/>
        <item h="1" m="1" x="22"/>
        <item h="1" m="1" x="19"/>
        <item h="1" x="2"/>
        <item h="1" m="1" x="33"/>
        <item h="1" m="1" x="7"/>
        <item h="1" m="1" x="27"/>
        <item h="1" m="1" x="30"/>
        <item h="1" m="1" x="13"/>
        <item h="1" m="1" x="29"/>
        <item h="1" m="1" x="32"/>
        <item h="1" m="1" x="18"/>
        <item h="1" m="1" x="10"/>
        <item h="1" m="1" x="6"/>
        <item h="1" m="1" x="24"/>
        <item h="1" m="1" x="17"/>
        <item h="1" m="1" x="20"/>
        <item h="1" m="1" x="28"/>
        <item h="1" m="1" x="31"/>
        <item h="1" m="1" x="16"/>
        <item h="1" m="1" x="5"/>
        <item h="1" m="1" x="21"/>
        <item h="1" m="1" x="11"/>
        <item h="1" m="1" x="8"/>
        <item h="1" m="1" x="26"/>
        <item h="1" m="1" x="15"/>
        <item h="1" x="3"/>
        <item t="default"/>
      </items>
    </pivotField>
    <pivotField compact="0" outline="0" showAll="0"/>
    <pivotField compact="0" outline="0" showAll="0"/>
    <pivotField axis="axisRow" compact="0" outline="0" showAll="0">
      <items count="34">
        <item m="1" x="11"/>
        <item m="1" x="23"/>
        <item m="1" x="6"/>
        <item h="1" x="0"/>
        <item x="2"/>
        <item m="1" x="30"/>
        <item m="1" x="21"/>
        <item m="1" x="9"/>
        <item m="1" x="22"/>
        <item m="1" x="28"/>
        <item m="1" x="32"/>
        <item m="1" x="12"/>
        <item m="1" x="5"/>
        <item m="1" x="10"/>
        <item m="1" x="4"/>
        <item m="1" x="7"/>
        <item m="1" x="27"/>
        <item m="1" x="31"/>
        <item m="1" x="19"/>
        <item m="1" x="15"/>
        <item m="1" x="14"/>
        <item m="1" x="13"/>
        <item m="1" x="24"/>
        <item m="1" x="16"/>
        <item m="1" x="20"/>
        <item m="1" x="17"/>
        <item m="1" x="25"/>
        <item m="1" x="26"/>
        <item m="1" x="8"/>
        <item m="1" x="3"/>
        <item m="1" x="29"/>
        <item m="1" x="18"/>
        <item x="1"/>
        <item t="default"/>
      </items>
    </pivotField>
  </pivotFields>
  <rowFields count="3">
    <field x="0"/>
    <field x="1"/>
    <field x="6"/>
  </rowFields>
  <rowItems count="4">
    <i>
      <x v="6"/>
      <x v="14"/>
      <x v="32"/>
    </i>
    <i>
      <x v="16"/>
      <x v="20"/>
      <x v="4"/>
    </i>
    <i>
      <x v="17"/>
      <x v="5"/>
      <x v="4"/>
    </i>
    <i t="grand">
      <x/>
    </i>
  </rowItems>
  <colItems count="1">
    <i/>
  </colItems>
  <formats count="11">
    <format dxfId="21">
      <pivotArea field="1" type="button" dataOnly="0" labelOnly="1" outline="0" axis="axisRow" fieldPosition="1"/>
    </format>
    <format dxfId="20">
      <pivotArea field="3" type="button" dataOnly="0" labelOnly="1" outline="0"/>
    </format>
    <format dxfId="19">
      <pivotArea field="1" type="button" dataOnly="0" labelOnly="1" outline="0" axis="axisRow" fieldPosition="1"/>
    </format>
    <format dxfId="18">
      <pivotArea field="3" type="button" dataOnly="0" labelOnly="1" outline="0"/>
    </format>
    <format dxfId="17">
      <pivotArea field="1" type="button" dataOnly="0" labelOnly="1" outline="0" axis="axisRow" fieldPosition="1"/>
    </format>
    <format dxfId="16">
      <pivotArea field="3" type="button" dataOnly="0" labelOnly="1" outline="0"/>
    </format>
    <format dxfId="15">
      <pivotArea type="all" dataOnly="0" outline="0" fieldPosition="0"/>
    </format>
    <format dxfId="14">
      <pivotArea field="1" type="button" dataOnly="0" labelOnly="1" outline="0" axis="axisRow" fieldPosition="1"/>
    </format>
    <format dxfId="13">
      <pivotArea field="3" type="button" dataOnly="0" labelOnly="1" outline="0"/>
    </format>
    <format dxfId="12">
      <pivotArea dataOnly="0" labelOnly="1" outline="0" fieldPosition="0">
        <references count="1">
          <reference field="1" count="0"/>
        </references>
      </pivotArea>
    </format>
    <format dxfId="1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200-000003000000}" name="TablaDinámica45" cacheId="3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C88:E92" firstHeaderRow="1" firstDataRow="1" firstDataCol="3"/>
  <pivotFields count="7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compact="0" outline="0" showAll="0"/>
    <pivotField compact="0" outline="0" showAll="0">
      <items count="35">
        <item x="4"/>
        <item x="0"/>
        <item m="1" x="25"/>
        <item m="1" x="14"/>
        <item m="1" x="12"/>
        <item x="1"/>
        <item m="1" x="9"/>
        <item m="1" x="23"/>
        <item m="1" x="22"/>
        <item m="1" x="19"/>
        <item x="2"/>
        <item m="1" x="33"/>
        <item m="1" x="7"/>
        <item m="1" x="27"/>
        <item m="1" x="30"/>
        <item m="1" x="13"/>
        <item m="1" x="29"/>
        <item m="1" x="32"/>
        <item m="1" x="18"/>
        <item m="1" x="10"/>
        <item m="1" x="6"/>
        <item m="1" x="24"/>
        <item m="1" x="17"/>
        <item m="1" x="20"/>
        <item m="1" x="28"/>
        <item m="1" x="31"/>
        <item m="1" x="16"/>
        <item m="1" x="5"/>
        <item m="1" x="21"/>
        <item m="1" x="11"/>
        <item m="1" x="8"/>
        <item m="1" x="26"/>
        <item m="1" x="15"/>
        <item x="3"/>
        <item t="default"/>
      </items>
    </pivotField>
    <pivotField compact="0" outline="0" showAll="0"/>
    <pivotField axis="axisRow" compact="0" outline="0" showAll="0">
      <items count="27">
        <item m="1" x="18"/>
        <item m="1" x="25"/>
        <item m="1" x="5"/>
        <item h="1" x="0"/>
        <item m="1" x="24"/>
        <item m="1" x="23"/>
        <item m="1" x="11"/>
        <item m="1" x="16"/>
        <item x="1"/>
        <item m="1" x="8"/>
        <item m="1" x="19"/>
        <item m="1" x="9"/>
        <item m="1" x="20"/>
        <item m="1" x="10"/>
        <item m="1" x="4"/>
        <item m="1" x="7"/>
        <item m="1" x="14"/>
        <item x="2"/>
        <item m="1" x="12"/>
        <item m="1" x="15"/>
        <item m="1" x="6"/>
        <item m="1" x="3"/>
        <item m="1" x="13"/>
        <item m="1" x="21"/>
        <item m="1" x="17"/>
        <item m="1" x="22"/>
        <item t="default"/>
      </items>
    </pivotField>
    <pivotField compact="0" outline="0" showAll="0"/>
  </pivotFields>
  <rowFields count="3">
    <field x="0"/>
    <field x="1"/>
    <field x="5"/>
  </rowFields>
  <rowItems count="4">
    <i>
      <x v="6"/>
      <x v="14"/>
      <x v="8"/>
    </i>
    <i>
      <x v="11"/>
      <x/>
      <x v="17"/>
    </i>
    <i>
      <x v="17"/>
      <x v="5"/>
      <x v="8"/>
    </i>
    <i t="grand">
      <x/>
    </i>
  </rowItems>
  <colItems count="1">
    <i/>
  </colItems>
  <formats count="11">
    <format dxfId="32">
      <pivotArea field="1" type="button" dataOnly="0" labelOnly="1" outline="0" axis="axisRow" fieldPosition="1"/>
    </format>
    <format dxfId="31">
      <pivotArea field="3" type="button" dataOnly="0" labelOnly="1" outline="0"/>
    </format>
    <format dxfId="30">
      <pivotArea field="1" type="button" dataOnly="0" labelOnly="1" outline="0" axis="axisRow" fieldPosition="1"/>
    </format>
    <format dxfId="29">
      <pivotArea field="3" type="button" dataOnly="0" labelOnly="1" outline="0"/>
    </format>
    <format dxfId="28">
      <pivotArea field="1" type="button" dataOnly="0" labelOnly="1" outline="0" axis="axisRow" fieldPosition="1"/>
    </format>
    <format dxfId="27">
      <pivotArea field="3" type="button" dataOnly="0" labelOnly="1" outline="0"/>
    </format>
    <format dxfId="26">
      <pivotArea type="all" dataOnly="0" outline="0" fieldPosition="0"/>
    </format>
    <format dxfId="25">
      <pivotArea field="1" type="button" dataOnly="0" labelOnly="1" outline="0" axis="axisRow" fieldPosition="1"/>
    </format>
    <format dxfId="24">
      <pivotArea field="3" type="button" dataOnly="0" labelOnly="1" outline="0"/>
    </format>
    <format dxfId="23">
      <pivotArea dataOnly="0" labelOnly="1" outline="0" fieldPosition="0">
        <references count="1">
          <reference field="1" count="0"/>
        </references>
      </pivotArea>
    </format>
    <format dxfId="2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200-000002000000}" name="TablaDinámica44" cacheId="3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C60:E64" firstHeaderRow="1" firstDataRow="1" firstDataCol="3"/>
  <pivotFields count="7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compact="0" outline="0" showAll="0"/>
    <pivotField compact="0" outline="0" showAll="0">
      <items count="35">
        <item x="4"/>
        <item x="0"/>
        <item m="1" x="25"/>
        <item m="1" x="14"/>
        <item m="1" x="12"/>
        <item x="1"/>
        <item m="1" x="9"/>
        <item m="1" x="23"/>
        <item m="1" x="22"/>
        <item m="1" x="19"/>
        <item x="2"/>
        <item m="1" x="33"/>
        <item m="1" x="7"/>
        <item m="1" x="27"/>
        <item m="1" x="30"/>
        <item m="1" x="13"/>
        <item m="1" x="29"/>
        <item m="1" x="32"/>
        <item m="1" x="18"/>
        <item m="1" x="10"/>
        <item m="1" x="6"/>
        <item m="1" x="24"/>
        <item m="1" x="17"/>
        <item m="1" x="20"/>
        <item m="1" x="28"/>
        <item m="1" x="31"/>
        <item m="1" x="16"/>
        <item m="1" x="5"/>
        <item m="1" x="21"/>
        <item m="1" x="11"/>
        <item m="1" x="8"/>
        <item m="1" x="26"/>
        <item m="1" x="15"/>
        <item x="3"/>
        <item t="default"/>
      </items>
    </pivotField>
    <pivotField axis="axisRow" compact="0" outline="0" showAll="0">
      <items count="26">
        <item m="1" x="9"/>
        <item m="1" x="16"/>
        <item m="1" x="7"/>
        <item h="1" x="0"/>
        <item m="1" x="6"/>
        <item m="1" x="23"/>
        <item m="1" x="14"/>
        <item m="1" x="5"/>
        <item m="1" x="21"/>
        <item m="1" x="19"/>
        <item m="1" x="13"/>
        <item m="1" x="20"/>
        <item m="1" x="24"/>
        <item m="1" x="4"/>
        <item m="1" x="8"/>
        <item m="1" x="10"/>
        <item m="1" x="22"/>
        <item m="1" x="15"/>
        <item m="1" x="18"/>
        <item x="3"/>
        <item m="1" x="11"/>
        <item m="1" x="17"/>
        <item m="1" x="12"/>
        <item x="2"/>
        <item x="1"/>
        <item t="default"/>
      </items>
    </pivotField>
    <pivotField compact="0" outline="0" showAll="0"/>
    <pivotField compact="0" outline="0" showAll="0"/>
  </pivotFields>
  <rowFields count="3">
    <field x="0"/>
    <field x="1"/>
    <field x="4"/>
  </rowFields>
  <rowItems count="4">
    <i>
      <x v="6"/>
      <x v="14"/>
      <x v="24"/>
    </i>
    <i>
      <x v="16"/>
      <x v="20"/>
      <x v="23"/>
    </i>
    <i>
      <x v="17"/>
      <x v="5"/>
      <x v="19"/>
    </i>
    <i t="grand">
      <x/>
    </i>
  </rowItems>
  <colItems count="1">
    <i/>
  </colItems>
  <formats count="11">
    <format dxfId="43">
      <pivotArea field="1" type="button" dataOnly="0" labelOnly="1" outline="0" axis="axisRow" fieldPosition="1"/>
    </format>
    <format dxfId="42">
      <pivotArea field="3" type="button" dataOnly="0" labelOnly="1" outline="0"/>
    </format>
    <format dxfId="41">
      <pivotArea field="1" type="button" dataOnly="0" labelOnly="1" outline="0" axis="axisRow" fieldPosition="1"/>
    </format>
    <format dxfId="40">
      <pivotArea field="3" type="button" dataOnly="0" labelOnly="1" outline="0"/>
    </format>
    <format dxfId="39">
      <pivotArea field="1" type="button" dataOnly="0" labelOnly="1" outline="0" axis="axisRow" fieldPosition="1"/>
    </format>
    <format dxfId="38">
      <pivotArea field="3" type="button" dataOnly="0" labelOnly="1" outline="0"/>
    </format>
    <format dxfId="37">
      <pivotArea type="all" dataOnly="0" outline="0" fieldPosition="0"/>
    </format>
    <format dxfId="36">
      <pivotArea field="1" type="button" dataOnly="0" labelOnly="1" outline="0" axis="axisRow" fieldPosition="1"/>
    </format>
    <format dxfId="35">
      <pivotArea field="3" type="button" dataOnly="0" labelOnly="1" outline="0"/>
    </format>
    <format dxfId="34">
      <pivotArea dataOnly="0" labelOnly="1" outline="0" fieldPosition="0">
        <references count="1">
          <reference field="1" count="0"/>
        </references>
      </pivotArea>
    </format>
    <format dxfId="3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200-000001000000}" name="TablaDinámica43" cacheId="3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6" indent="0" compact="0" compactData="0" multipleFieldFilters="0">
  <location ref="C32:E37" firstHeaderRow="1" firstDataRow="1" firstDataCol="3"/>
  <pivotFields count="7"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27">
        <item x="11"/>
        <item x="12"/>
        <item x="0"/>
        <item x="13"/>
        <item x="14"/>
        <item x="17"/>
        <item x="18"/>
        <item x="19"/>
        <item x="20"/>
        <item x="1"/>
        <item m="1" x="24"/>
        <item x="21"/>
        <item x="7"/>
        <item x="8"/>
        <item x="6"/>
        <item x="2"/>
        <item x="3"/>
        <item m="1" x="26"/>
        <item x="10"/>
        <item x="15"/>
        <item x="16"/>
        <item x="22"/>
        <item x="23"/>
        <item m="1" x="25"/>
        <item x="4"/>
        <item x="5"/>
        <item x="9"/>
      </items>
    </pivotField>
    <pivotField compact="0" outline="0" showAll="0"/>
    <pivotField axis="axisRow" compact="0" outline="0" showAll="0">
      <items count="35">
        <item x="4"/>
        <item h="1" x="0"/>
        <item m="1" x="25"/>
        <item m="1" x="14"/>
        <item m="1" x="12"/>
        <item x="1"/>
        <item m="1" x="9"/>
        <item m="1" x="23"/>
        <item m="1" x="22"/>
        <item m="1" x="19"/>
        <item x="2"/>
        <item m="1" x="33"/>
        <item m="1" x="7"/>
        <item m="1" x="27"/>
        <item m="1" x="30"/>
        <item m="1" x="13"/>
        <item m="1" x="29"/>
        <item m="1" x="32"/>
        <item m="1" x="18"/>
        <item m="1" x="10"/>
        <item m="1" x="6"/>
        <item m="1" x="24"/>
        <item m="1" x="17"/>
        <item m="1" x="20"/>
        <item m="1" x="28"/>
        <item m="1" x="31"/>
        <item m="1" x="16"/>
        <item m="1" x="5"/>
        <item m="1" x="21"/>
        <item m="1" x="11"/>
        <item m="1" x="8"/>
        <item m="1" x="26"/>
        <item m="1" x="15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3">
    <field x="0"/>
    <field x="1"/>
    <field x="3"/>
  </rowFields>
  <rowItems count="5">
    <i>
      <x v="1"/>
      <x v="9"/>
      <x v="5"/>
    </i>
    <i>
      <x v="6"/>
      <x v="14"/>
      <x v="10"/>
    </i>
    <i>
      <x v="16"/>
      <x v="20"/>
      <x v="33"/>
    </i>
    <i>
      <x v="17"/>
      <x v="5"/>
      <x/>
    </i>
    <i t="grand">
      <x/>
    </i>
  </rowItems>
  <colItems count="1">
    <i/>
  </colItems>
  <formats count="11">
    <format dxfId="54">
      <pivotArea field="1" type="button" dataOnly="0" labelOnly="1" outline="0" axis="axisRow" fieldPosition="1"/>
    </format>
    <format dxfId="53">
      <pivotArea field="3" type="button" dataOnly="0" labelOnly="1" outline="0" axis="axisRow" fieldPosition="2"/>
    </format>
    <format dxfId="52">
      <pivotArea field="1" type="button" dataOnly="0" labelOnly="1" outline="0" axis="axisRow" fieldPosition="1"/>
    </format>
    <format dxfId="51">
      <pivotArea field="3" type="button" dataOnly="0" labelOnly="1" outline="0" axis="axisRow" fieldPosition="2"/>
    </format>
    <format dxfId="50">
      <pivotArea field="1" type="button" dataOnly="0" labelOnly="1" outline="0" axis="axisRow" fieldPosition="1"/>
    </format>
    <format dxfId="49">
      <pivotArea field="3" type="button" dataOnly="0" labelOnly="1" outline="0" axis="axisRow" fieldPosition="2"/>
    </format>
    <format dxfId="48">
      <pivotArea type="all" dataOnly="0" outline="0" fieldPosition="0"/>
    </format>
    <format dxfId="47">
      <pivotArea field="1" type="button" dataOnly="0" labelOnly="1" outline="0" axis="axisRow" fieldPosition="1"/>
    </format>
    <format dxfId="46">
      <pivotArea field="3" type="button" dataOnly="0" labelOnly="1" outline="0" axis="axisRow" fieldPosition="2"/>
    </format>
    <format dxfId="45">
      <pivotArea dataOnly="0" labelOnly="1" outline="0" fieldPosition="0">
        <references count="1">
          <reference field="1" count="0"/>
        </references>
      </pivotArea>
    </format>
    <format dxfId="4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FAA35A-0CCA-413D-BC82-B8A0EB704612}" name="Tabla1" displayName="Tabla1" ref="A1:I10" totalsRowShown="0">
  <autoFilter ref="A1:I10" xr:uid="{5F40C465-7C98-4A75-814A-6A87BE25DBB9}"/>
  <tableColumns count="9">
    <tableColumn id="1" xr3:uid="{A7D9C3CD-91D5-49E9-B0D0-4CAE974635F8}" name="No."/>
    <tableColumn id="2" xr3:uid="{ECF0FDDA-F32F-4430-87DF-9919D2FCAE2B}" name="PRODUCTO"/>
    <tableColumn id="3" xr3:uid="{3B8B0F17-5A90-427A-8281-E4FC21303416}" name="MARTES"/>
    <tableColumn id="4" xr3:uid="{DA3562CE-9EC3-4856-8502-04FFA2F107EF}" name="MIERCOLES"/>
    <tableColumn id="5" xr3:uid="{F608A608-B31A-4DBD-A45F-17DCB01E6B75}" name="JUEVES"/>
    <tableColumn id="6" xr3:uid="{8F65322C-BA21-4A56-BCD8-A1A8391BD293}" name="VIERNES"/>
    <tableColumn id="7" xr3:uid="{9647C1F6-ACE7-4FB7-9386-39565C86380F}" name="SABADO"/>
    <tableColumn id="8" xr3:uid="{298298A3-E770-447C-A61A-52A3FAA03165}" name="DOMINGO"/>
    <tableColumn id="9" xr3:uid="{EA1ABDDB-81BA-4F54-B4FB-83EE61DE8FD1}" name="LU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1" Type="http://schemas.openxmlformats.org/officeDocument/2006/relationships/pivotTable" Target="../pivotTables/pivotTable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openxmlformats.org/officeDocument/2006/relationships/pivotTable" Target="../pivotTables/pivotTable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4.xml"/><Relationship Id="rId13" Type="http://schemas.openxmlformats.org/officeDocument/2006/relationships/pivotTable" Target="../pivotTables/pivotTable39.xml"/><Relationship Id="rId18" Type="http://schemas.openxmlformats.org/officeDocument/2006/relationships/pivotTable" Target="../pivotTables/pivotTable44.xml"/><Relationship Id="rId3" Type="http://schemas.openxmlformats.org/officeDocument/2006/relationships/pivotTable" Target="../pivotTables/pivotTable29.xml"/><Relationship Id="rId21" Type="http://schemas.openxmlformats.org/officeDocument/2006/relationships/pivotTable" Target="../pivotTables/pivotTable47.xml"/><Relationship Id="rId7" Type="http://schemas.openxmlformats.org/officeDocument/2006/relationships/pivotTable" Target="../pivotTables/pivotTable33.xml"/><Relationship Id="rId12" Type="http://schemas.openxmlformats.org/officeDocument/2006/relationships/pivotTable" Target="../pivotTables/pivotTable38.xml"/><Relationship Id="rId17" Type="http://schemas.openxmlformats.org/officeDocument/2006/relationships/pivotTable" Target="../pivotTables/pivotTable43.xml"/><Relationship Id="rId2" Type="http://schemas.openxmlformats.org/officeDocument/2006/relationships/pivotTable" Target="../pivotTables/pivotTable28.xml"/><Relationship Id="rId16" Type="http://schemas.openxmlformats.org/officeDocument/2006/relationships/pivotTable" Target="../pivotTables/pivotTable42.xml"/><Relationship Id="rId20" Type="http://schemas.openxmlformats.org/officeDocument/2006/relationships/pivotTable" Target="../pivotTables/pivotTable46.xml"/><Relationship Id="rId1" Type="http://schemas.openxmlformats.org/officeDocument/2006/relationships/pivotTable" Target="../pivotTables/pivotTable27.xml"/><Relationship Id="rId6" Type="http://schemas.openxmlformats.org/officeDocument/2006/relationships/pivotTable" Target="../pivotTables/pivotTable32.xml"/><Relationship Id="rId11" Type="http://schemas.openxmlformats.org/officeDocument/2006/relationships/pivotTable" Target="../pivotTables/pivotTable37.xml"/><Relationship Id="rId5" Type="http://schemas.openxmlformats.org/officeDocument/2006/relationships/pivotTable" Target="../pivotTables/pivotTable31.xml"/><Relationship Id="rId15" Type="http://schemas.openxmlformats.org/officeDocument/2006/relationships/pivotTable" Target="../pivotTables/pivotTable41.xml"/><Relationship Id="rId10" Type="http://schemas.openxmlformats.org/officeDocument/2006/relationships/pivotTable" Target="../pivotTables/pivotTable36.xml"/><Relationship Id="rId19" Type="http://schemas.openxmlformats.org/officeDocument/2006/relationships/pivotTable" Target="../pivotTables/pivotTable45.xml"/><Relationship Id="rId4" Type="http://schemas.openxmlformats.org/officeDocument/2006/relationships/pivotTable" Target="../pivotTables/pivotTable30.xml"/><Relationship Id="rId9" Type="http://schemas.openxmlformats.org/officeDocument/2006/relationships/pivotTable" Target="../pivotTables/pivotTable35.xml"/><Relationship Id="rId14" Type="http://schemas.openxmlformats.org/officeDocument/2006/relationships/pivotTable" Target="../pivotTables/pivotTable40.xml"/><Relationship Id="rId22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0.xml"/><Relationship Id="rId2" Type="http://schemas.openxmlformats.org/officeDocument/2006/relationships/pivotTable" Target="../pivotTables/pivotTable49.xml"/><Relationship Id="rId1" Type="http://schemas.openxmlformats.org/officeDocument/2006/relationships/pivotTable" Target="../pivotTables/pivotTable48.xml"/><Relationship Id="rId6" Type="http://schemas.openxmlformats.org/officeDocument/2006/relationships/printerSettings" Target="../printerSettings/printerSettings35.bin"/><Relationship Id="rId5" Type="http://schemas.openxmlformats.org/officeDocument/2006/relationships/pivotTable" Target="../pivotTables/pivotTable52.xml"/><Relationship Id="rId4" Type="http://schemas.openxmlformats.org/officeDocument/2006/relationships/pivotTable" Target="../pivotTables/pivotTable5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38"/>
  <sheetViews>
    <sheetView topLeftCell="A4" workbookViewId="0">
      <selection activeCell="I14" sqref="I14"/>
    </sheetView>
  </sheetViews>
  <sheetFormatPr baseColWidth="10" defaultRowHeight="15"/>
  <cols>
    <col min="1" max="1" width="1" customWidth="1"/>
    <col min="2" max="2" width="8.42578125" style="52" customWidth="1"/>
    <col min="3" max="3" width="9.42578125" style="52" customWidth="1"/>
    <col min="4" max="4" width="46.140625" customWidth="1"/>
    <col min="5" max="5" width="9.85546875" style="35" bestFit="1" customWidth="1"/>
    <col min="6" max="6" width="9.140625" style="97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44572</v>
      </c>
      <c r="E5" s="147" t="s">
        <v>130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31" t="s">
        <v>103</v>
      </c>
      <c r="E7" s="131"/>
      <c r="F7" s="132"/>
    </row>
    <row r="8" spans="2:6">
      <c r="B8" s="133" t="s">
        <v>83</v>
      </c>
      <c r="C8" s="134"/>
      <c r="D8" s="135"/>
      <c r="E8" s="135"/>
      <c r="F8" s="136"/>
    </row>
    <row r="9" spans="2:6" ht="15.75" thickBot="1">
      <c r="B9" s="137" t="s">
        <v>84</v>
      </c>
      <c r="C9" s="138"/>
      <c r="D9" s="139" t="s">
        <v>85</v>
      </c>
      <c r="E9" s="139"/>
      <c r="F9" s="140"/>
    </row>
    <row r="10" spans="2:6" ht="8.25" customHeight="1">
      <c r="B10" s="99"/>
      <c r="C10" s="98"/>
      <c r="D10" s="100"/>
      <c r="E10" s="100"/>
      <c r="F10" s="100"/>
    </row>
    <row r="11" spans="2:6">
      <c r="B11" s="123" t="s">
        <v>77</v>
      </c>
      <c r="C11" s="122"/>
      <c r="D11" s="122"/>
      <c r="E11" s="122"/>
      <c r="F11" s="124"/>
    </row>
    <row r="12" spans="2:6">
      <c r="B12" s="121" t="s">
        <v>0</v>
      </c>
      <c r="C12" s="120" t="s">
        <v>2</v>
      </c>
      <c r="D12" s="120" t="s">
        <v>1</v>
      </c>
      <c r="E12" s="120" t="s">
        <v>86</v>
      </c>
      <c r="F12" s="119" t="s">
        <v>78</v>
      </c>
    </row>
    <row r="13" spans="2:6">
      <c r="B13" s="31">
        <v>7</v>
      </c>
      <c r="C13" s="119">
        <v>11.48</v>
      </c>
      <c r="D13" s="119" t="s">
        <v>55</v>
      </c>
      <c r="E13" s="119">
        <v>150</v>
      </c>
      <c r="F13" s="124">
        <v>1722</v>
      </c>
    </row>
    <row r="14" spans="2:6">
      <c r="B14" s="31">
        <v>8</v>
      </c>
      <c r="C14" s="119">
        <v>0.96</v>
      </c>
      <c r="D14" s="119" t="s">
        <v>74</v>
      </c>
      <c r="E14" s="119">
        <v>150</v>
      </c>
      <c r="F14" s="124">
        <v>144</v>
      </c>
    </row>
    <row r="15" spans="2:6">
      <c r="B15" s="31">
        <v>10</v>
      </c>
      <c r="C15" s="119">
        <v>19.8</v>
      </c>
      <c r="D15" s="119" t="s">
        <v>139</v>
      </c>
      <c r="E15" s="119">
        <v>75</v>
      </c>
      <c r="F15" s="124">
        <v>1485</v>
      </c>
    </row>
    <row r="16" spans="2:6">
      <c r="B16" s="31">
        <v>15</v>
      </c>
      <c r="C16" s="119">
        <v>10.8</v>
      </c>
      <c r="D16" s="119" t="s">
        <v>48</v>
      </c>
      <c r="E16" s="119">
        <v>140</v>
      </c>
      <c r="F16" s="124">
        <v>1512</v>
      </c>
    </row>
    <row r="17" spans="2:6">
      <c r="B17" s="31">
        <v>16</v>
      </c>
      <c r="C17" s="119">
        <v>13.2</v>
      </c>
      <c r="D17" s="119" t="s">
        <v>59</v>
      </c>
      <c r="E17" s="119">
        <v>145</v>
      </c>
      <c r="F17" s="124">
        <v>1914</v>
      </c>
    </row>
    <row r="18" spans="2:6">
      <c r="B18" s="31">
        <v>17</v>
      </c>
      <c r="C18" s="119">
        <v>8.1</v>
      </c>
      <c r="D18" s="119" t="s">
        <v>60</v>
      </c>
      <c r="E18" s="119">
        <v>130</v>
      </c>
      <c r="F18" s="124">
        <v>1053</v>
      </c>
    </row>
    <row r="19" spans="2:6">
      <c r="B19" s="31">
        <v>18</v>
      </c>
      <c r="C19" s="119">
        <v>10.29</v>
      </c>
      <c r="D19" s="119" t="s">
        <v>49</v>
      </c>
      <c r="E19" s="119">
        <v>38</v>
      </c>
      <c r="F19" s="124">
        <v>391.02</v>
      </c>
    </row>
    <row r="20" spans="2:6">
      <c r="B20" s="31">
        <v>20</v>
      </c>
      <c r="C20" s="119">
        <v>0.66</v>
      </c>
      <c r="D20" s="119" t="s">
        <v>51</v>
      </c>
      <c r="E20" s="119">
        <v>120</v>
      </c>
      <c r="F20" s="124">
        <v>79.2</v>
      </c>
    </row>
    <row r="21" spans="2:6">
      <c r="B21" s="31">
        <v>21</v>
      </c>
      <c r="C21" s="119">
        <v>1.88</v>
      </c>
      <c r="D21" s="119" t="s">
        <v>52</v>
      </c>
      <c r="E21" s="119">
        <v>140</v>
      </c>
      <c r="F21" s="124">
        <v>263.2</v>
      </c>
    </row>
    <row r="22" spans="2:6">
      <c r="B22" s="31">
        <v>24</v>
      </c>
      <c r="C22" s="119">
        <v>1.72</v>
      </c>
      <c r="D22" s="119" t="s">
        <v>62</v>
      </c>
      <c r="E22" s="119">
        <v>50</v>
      </c>
      <c r="F22" s="124">
        <v>86</v>
      </c>
    </row>
    <row r="23" spans="2:6">
      <c r="B23" s="122" t="s">
        <v>76</v>
      </c>
      <c r="C23" s="122"/>
      <c r="D23" s="122"/>
      <c r="E23" s="122"/>
      <c r="F23" s="124">
        <v>8649.4200000000019</v>
      </c>
    </row>
    <row r="24" spans="2:6">
      <c r="B24"/>
      <c r="C24"/>
      <c r="E24"/>
      <c r="F24"/>
    </row>
    <row r="25" spans="2:6">
      <c r="B25"/>
      <c r="C25"/>
      <c r="E25"/>
      <c r="F25"/>
    </row>
    <row r="26" spans="2:6">
      <c r="B26"/>
      <c r="C26"/>
      <c r="E26"/>
      <c r="F26"/>
    </row>
    <row r="27" spans="2:6">
      <c r="B27"/>
      <c r="C27"/>
      <c r="E27"/>
      <c r="F27"/>
    </row>
    <row r="28" spans="2:6">
      <c r="B28"/>
      <c r="C28"/>
      <c r="E28"/>
      <c r="F28"/>
    </row>
    <row r="29" spans="2:6">
      <c r="B29"/>
      <c r="C29"/>
      <c r="E29"/>
      <c r="F29"/>
    </row>
    <row r="30" spans="2:6">
      <c r="B30"/>
      <c r="C30"/>
      <c r="E30"/>
      <c r="F30"/>
    </row>
    <row r="31" spans="2:6">
      <c r="B31"/>
      <c r="C31"/>
      <c r="E31"/>
      <c r="F31"/>
    </row>
    <row r="32" spans="2:6">
      <c r="B32"/>
      <c r="C32"/>
      <c r="E32"/>
      <c r="F32"/>
    </row>
    <row r="33" spans="2:6" customFormat="1"/>
    <row r="34" spans="2:6" customFormat="1"/>
    <row r="35" spans="2:6" customFormat="1"/>
    <row r="36" spans="2:6" customFormat="1"/>
    <row r="37" spans="2:6" customFormat="1"/>
    <row r="38" spans="2:6">
      <c r="B38"/>
      <c r="E38" s="52"/>
      <c r="F38"/>
    </row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F61"/>
  <sheetViews>
    <sheetView workbookViewId="0">
      <selection activeCell="F19" sqref="A1:F19"/>
    </sheetView>
  </sheetViews>
  <sheetFormatPr baseColWidth="10" defaultRowHeight="15"/>
  <cols>
    <col min="1" max="1" width="1" customWidth="1"/>
    <col min="2" max="2" width="8.42578125" style="52" customWidth="1"/>
    <col min="3" max="3" width="9.42578125" style="52" customWidth="1"/>
    <col min="4" max="4" width="46.140625" customWidth="1"/>
    <col min="5" max="5" width="9.85546875" style="35" bestFit="1" customWidth="1"/>
    <col min="6" max="6" width="9.140625" style="97" bestFit="1" customWidth="1"/>
    <col min="7" max="7" width="22.85546875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44573</v>
      </c>
      <c r="E5" s="147" t="s">
        <v>120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31" t="s">
        <v>103</v>
      </c>
      <c r="E7" s="131"/>
      <c r="F7" s="132"/>
    </row>
    <row r="8" spans="2:6">
      <c r="B8" s="133" t="s">
        <v>83</v>
      </c>
      <c r="C8" s="134"/>
      <c r="D8" s="135"/>
      <c r="E8" s="135"/>
      <c r="F8" s="136"/>
    </row>
    <row r="9" spans="2:6" ht="15.75" thickBot="1">
      <c r="B9" s="137" t="s">
        <v>84</v>
      </c>
      <c r="C9" s="138"/>
      <c r="D9" s="139" t="s">
        <v>85</v>
      </c>
      <c r="E9" s="139"/>
      <c r="F9" s="140"/>
    </row>
    <row r="10" spans="2:6" ht="8.25" customHeight="1">
      <c r="B10" s="99"/>
      <c r="C10" s="98"/>
      <c r="D10" s="100"/>
      <c r="E10" s="100"/>
      <c r="F10" s="100"/>
    </row>
    <row r="11" spans="2:6">
      <c r="B11" s="123" t="s">
        <v>87</v>
      </c>
      <c r="C11" s="122"/>
      <c r="D11" s="122"/>
      <c r="E11" s="122"/>
      <c r="F11" s="124"/>
    </row>
    <row r="12" spans="2:6">
      <c r="B12" s="121" t="s">
        <v>0</v>
      </c>
      <c r="C12" s="120" t="s">
        <v>3</v>
      </c>
      <c r="D12" s="120" t="s">
        <v>1</v>
      </c>
      <c r="E12" s="120" t="s">
        <v>86</v>
      </c>
      <c r="F12" s="119" t="s">
        <v>78</v>
      </c>
    </row>
    <row r="13" spans="2:6">
      <c r="B13" s="31">
        <v>7</v>
      </c>
      <c r="C13" s="119">
        <v>20.079999999999998</v>
      </c>
      <c r="D13" s="119" t="s">
        <v>55</v>
      </c>
      <c r="E13" s="119">
        <v>150</v>
      </c>
      <c r="F13" s="124">
        <v>3011.9999999999995</v>
      </c>
    </row>
    <row r="14" spans="2:6">
      <c r="B14" s="31">
        <v>8</v>
      </c>
      <c r="C14" s="119">
        <v>3.6</v>
      </c>
      <c r="D14" s="119" t="s">
        <v>74</v>
      </c>
      <c r="E14" s="119">
        <v>150</v>
      </c>
      <c r="F14" s="124">
        <v>540</v>
      </c>
    </row>
    <row r="15" spans="2:6">
      <c r="B15" s="31">
        <v>10</v>
      </c>
      <c r="C15" s="119">
        <v>21.15</v>
      </c>
      <c r="D15" s="119" t="s">
        <v>139</v>
      </c>
      <c r="E15" s="119">
        <v>75</v>
      </c>
      <c r="F15" s="124">
        <v>1586.25</v>
      </c>
    </row>
    <row r="16" spans="2:6">
      <c r="B16" s="31">
        <v>12</v>
      </c>
      <c r="C16" s="119">
        <v>12</v>
      </c>
      <c r="D16" s="119" t="s">
        <v>44</v>
      </c>
      <c r="E16" s="119">
        <v>160</v>
      </c>
      <c r="F16" s="124">
        <v>1920</v>
      </c>
    </row>
    <row r="17" spans="2:6">
      <c r="B17" s="31">
        <v>17</v>
      </c>
      <c r="C17" s="119">
        <v>1.1399999999999999</v>
      </c>
      <c r="D17" s="119" t="s">
        <v>60</v>
      </c>
      <c r="E17" s="119">
        <v>130</v>
      </c>
      <c r="F17" s="124">
        <v>148.19999999999999</v>
      </c>
    </row>
    <row r="18" spans="2:6">
      <c r="B18" s="31">
        <v>18</v>
      </c>
      <c r="C18" s="119">
        <v>0.76</v>
      </c>
      <c r="D18" s="119" t="s">
        <v>49</v>
      </c>
      <c r="E18" s="119">
        <v>38</v>
      </c>
      <c r="F18" s="124">
        <v>28.88</v>
      </c>
    </row>
    <row r="19" spans="2:6">
      <c r="B19" s="122" t="s">
        <v>76</v>
      </c>
      <c r="C19" s="122"/>
      <c r="D19" s="122"/>
      <c r="E19" s="122"/>
      <c r="F19" s="124">
        <v>7235.33</v>
      </c>
    </row>
    <row r="20" spans="2:6">
      <c r="B20"/>
      <c r="C20"/>
      <c r="E20"/>
      <c r="F20"/>
    </row>
    <row r="21" spans="2:6">
      <c r="B21"/>
      <c r="C21"/>
      <c r="E21"/>
      <c r="F21"/>
    </row>
    <row r="22" spans="2:6">
      <c r="B22"/>
      <c r="C22"/>
      <c r="E22"/>
      <c r="F22"/>
    </row>
    <row r="23" spans="2:6">
      <c r="B23"/>
      <c r="C23"/>
      <c r="E23"/>
      <c r="F23"/>
    </row>
    <row r="24" spans="2:6">
      <c r="B24"/>
      <c r="C24"/>
      <c r="E24"/>
      <c r="F24"/>
    </row>
    <row r="25" spans="2:6">
      <c r="B25"/>
      <c r="C25"/>
      <c r="E25"/>
      <c r="F25"/>
    </row>
    <row r="26" spans="2:6">
      <c r="B26"/>
      <c r="C26"/>
      <c r="E26"/>
      <c r="F26"/>
    </row>
    <row r="27" spans="2:6">
      <c r="B27"/>
      <c r="C27"/>
      <c r="E27"/>
      <c r="F27"/>
    </row>
    <row r="28" spans="2:6">
      <c r="B28"/>
      <c r="C28"/>
      <c r="E28"/>
      <c r="F28"/>
    </row>
    <row r="29" spans="2:6">
      <c r="B29"/>
      <c r="C29"/>
      <c r="E29"/>
      <c r="F29"/>
    </row>
    <row r="30" spans="2:6">
      <c r="B30"/>
      <c r="C30"/>
      <c r="E30"/>
      <c r="F30"/>
    </row>
    <row r="31" spans="2:6">
      <c r="B31"/>
      <c r="C31"/>
      <c r="E31"/>
      <c r="F31"/>
    </row>
    <row r="32" spans="2:6">
      <c r="B32"/>
      <c r="C32"/>
      <c r="E32"/>
      <c r="F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6"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F61"/>
  <sheetViews>
    <sheetView workbookViewId="0">
      <selection activeCell="F22" sqref="A1:F22"/>
    </sheetView>
  </sheetViews>
  <sheetFormatPr baseColWidth="10" defaultRowHeight="15"/>
  <cols>
    <col min="1" max="1" width="1" customWidth="1"/>
    <col min="2" max="2" width="8.42578125" style="52" customWidth="1"/>
    <col min="3" max="3" width="9.42578125" style="52" customWidth="1"/>
    <col min="4" max="4" width="46.140625" customWidth="1"/>
    <col min="5" max="5" width="9.85546875" style="35" bestFit="1" customWidth="1"/>
    <col min="6" max="6" width="9.140625" style="97" bestFit="1" customWidth="1"/>
    <col min="7" max="7" width="9.140625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44574</v>
      </c>
      <c r="E5" s="147" t="s">
        <v>123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31" t="s">
        <v>103</v>
      </c>
      <c r="E7" s="131"/>
      <c r="F7" s="132"/>
    </row>
    <row r="8" spans="2:6">
      <c r="B8" s="133" t="s">
        <v>83</v>
      </c>
      <c r="C8" s="134"/>
      <c r="D8" s="135"/>
      <c r="E8" s="135"/>
      <c r="F8" s="136"/>
    </row>
    <row r="9" spans="2:6" ht="15.75" thickBot="1">
      <c r="B9" s="137" t="s">
        <v>84</v>
      </c>
      <c r="C9" s="138"/>
      <c r="D9" s="139" t="s">
        <v>85</v>
      </c>
      <c r="E9" s="139"/>
      <c r="F9" s="140"/>
    </row>
    <row r="10" spans="2:6" ht="8.25" customHeight="1">
      <c r="B10" s="99"/>
      <c r="C10" s="98"/>
      <c r="D10" s="100"/>
      <c r="E10" s="100"/>
      <c r="F10" s="100"/>
    </row>
    <row r="11" spans="2:6">
      <c r="B11" s="123" t="s">
        <v>88</v>
      </c>
      <c r="C11" s="122"/>
      <c r="D11" s="122"/>
      <c r="E11" s="122"/>
      <c r="F11" s="124"/>
    </row>
    <row r="12" spans="2:6">
      <c r="B12" s="121" t="s">
        <v>0</v>
      </c>
      <c r="C12" s="120" t="s">
        <v>4</v>
      </c>
      <c r="D12" s="120" t="s">
        <v>1</v>
      </c>
      <c r="E12" s="120" t="s">
        <v>86</v>
      </c>
      <c r="F12" s="119" t="s">
        <v>78</v>
      </c>
    </row>
    <row r="13" spans="2:6">
      <c r="B13" s="31">
        <v>3</v>
      </c>
      <c r="C13" s="119">
        <v>14.4</v>
      </c>
      <c r="D13" s="119" t="s">
        <v>56</v>
      </c>
      <c r="E13" s="119">
        <v>82</v>
      </c>
      <c r="F13" s="124">
        <v>1180.8</v>
      </c>
    </row>
    <row r="14" spans="2:6">
      <c r="B14" s="31">
        <v>7</v>
      </c>
      <c r="C14" s="119">
        <v>0.72</v>
      </c>
      <c r="D14" s="119" t="s">
        <v>55</v>
      </c>
      <c r="E14" s="119">
        <v>150</v>
      </c>
      <c r="F14" s="124">
        <v>108</v>
      </c>
    </row>
    <row r="15" spans="2:6">
      <c r="B15" s="31">
        <v>8</v>
      </c>
      <c r="C15" s="119">
        <v>17.399999999999999</v>
      </c>
      <c r="D15" s="119" t="s">
        <v>74</v>
      </c>
      <c r="E15" s="119">
        <v>150</v>
      </c>
      <c r="F15" s="124">
        <v>2610</v>
      </c>
    </row>
    <row r="16" spans="2:6">
      <c r="B16" s="31">
        <v>12</v>
      </c>
      <c r="C16" s="119">
        <v>10</v>
      </c>
      <c r="D16" s="119" t="s">
        <v>44</v>
      </c>
      <c r="E16" s="119">
        <v>160</v>
      </c>
      <c r="F16" s="124">
        <v>1600</v>
      </c>
    </row>
    <row r="17" spans="2:6">
      <c r="B17" s="31">
        <v>17</v>
      </c>
      <c r="C17" s="119">
        <v>11.22</v>
      </c>
      <c r="D17" s="119" t="s">
        <v>60</v>
      </c>
      <c r="E17" s="119">
        <v>130</v>
      </c>
      <c r="F17" s="124">
        <v>1458.6000000000001</v>
      </c>
    </row>
    <row r="18" spans="2:6">
      <c r="B18" s="31">
        <v>18</v>
      </c>
      <c r="C18" s="119">
        <v>21.5</v>
      </c>
      <c r="D18" s="119" t="s">
        <v>49</v>
      </c>
      <c r="E18" s="119">
        <v>38</v>
      </c>
      <c r="F18" s="124">
        <v>817</v>
      </c>
    </row>
    <row r="19" spans="2:6">
      <c r="B19" s="31">
        <v>23</v>
      </c>
      <c r="C19" s="119">
        <v>3</v>
      </c>
      <c r="D19" s="119" t="s">
        <v>61</v>
      </c>
      <c r="E19" s="119">
        <v>40</v>
      </c>
      <c r="F19" s="124">
        <v>120</v>
      </c>
    </row>
    <row r="20" spans="2:6">
      <c r="B20" s="31">
        <v>24</v>
      </c>
      <c r="C20" s="119">
        <v>6</v>
      </c>
      <c r="D20" s="119" t="s">
        <v>62</v>
      </c>
      <c r="E20" s="119">
        <v>50</v>
      </c>
      <c r="F20" s="124">
        <v>300</v>
      </c>
    </row>
    <row r="21" spans="2:6">
      <c r="B21" s="31">
        <v>25</v>
      </c>
      <c r="C21" s="119">
        <v>1</v>
      </c>
      <c r="D21" s="119" t="s">
        <v>63</v>
      </c>
      <c r="E21" s="119">
        <v>140</v>
      </c>
      <c r="F21" s="124">
        <v>140</v>
      </c>
    </row>
    <row r="22" spans="2:6">
      <c r="B22" s="122" t="s">
        <v>76</v>
      </c>
      <c r="C22" s="122"/>
      <c r="D22" s="122"/>
      <c r="E22" s="122"/>
      <c r="F22" s="124">
        <v>8334.4000000000015</v>
      </c>
    </row>
    <row r="23" spans="2:6">
      <c r="B23"/>
      <c r="C23"/>
      <c r="E23"/>
      <c r="F23"/>
    </row>
    <row r="24" spans="2:6">
      <c r="B24"/>
      <c r="C24"/>
      <c r="E24"/>
      <c r="F24"/>
    </row>
    <row r="25" spans="2:6">
      <c r="B25"/>
      <c r="C25"/>
      <c r="E25"/>
      <c r="F25"/>
    </row>
    <row r="26" spans="2:6">
      <c r="B26"/>
      <c r="C26"/>
      <c r="E26"/>
      <c r="F26"/>
    </row>
    <row r="27" spans="2:6">
      <c r="B27"/>
      <c r="C27"/>
      <c r="E27"/>
      <c r="F27"/>
    </row>
    <row r="28" spans="2:6">
      <c r="B28"/>
      <c r="C28"/>
      <c r="E28"/>
      <c r="F28"/>
    </row>
    <row r="29" spans="2:6">
      <c r="B29"/>
      <c r="C29"/>
      <c r="E29"/>
      <c r="F29"/>
    </row>
    <row r="30" spans="2:6">
      <c r="B30"/>
      <c r="C30"/>
      <c r="E30"/>
      <c r="F30"/>
    </row>
    <row r="31" spans="2:6">
      <c r="B31"/>
      <c r="C31"/>
      <c r="E31"/>
      <c r="F31"/>
    </row>
    <row r="32" spans="2:6">
      <c r="B32"/>
      <c r="C32"/>
      <c r="E32"/>
      <c r="F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6" orientation="portrait" horizontalDpi="300" verticalDpi="30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F61"/>
  <sheetViews>
    <sheetView workbookViewId="0">
      <selection activeCell="F21" sqref="B1:F21"/>
    </sheetView>
  </sheetViews>
  <sheetFormatPr baseColWidth="10" defaultRowHeight="15"/>
  <cols>
    <col min="1" max="1" width="1" customWidth="1"/>
    <col min="2" max="2" width="8.42578125" style="52" customWidth="1"/>
    <col min="3" max="3" width="9.42578125" style="52" customWidth="1"/>
    <col min="4" max="4" width="46.140625" customWidth="1"/>
    <col min="5" max="5" width="9.85546875" style="35" bestFit="1" customWidth="1"/>
    <col min="6" max="6" width="9.140625" style="97" bestFit="1" customWidth="1"/>
    <col min="7" max="7" width="20.7109375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44575</v>
      </c>
      <c r="E5" s="147" t="s">
        <v>133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31" t="s">
        <v>103</v>
      </c>
      <c r="E7" s="131"/>
      <c r="F7" s="132"/>
    </row>
    <row r="8" spans="2:6">
      <c r="B8" s="133" t="s">
        <v>83</v>
      </c>
      <c r="C8" s="134"/>
      <c r="D8" s="135"/>
      <c r="E8" s="135"/>
      <c r="F8" s="136"/>
    </row>
    <row r="9" spans="2:6" ht="15.75" thickBot="1">
      <c r="B9" s="137" t="s">
        <v>84</v>
      </c>
      <c r="C9" s="138"/>
      <c r="D9" s="139" t="s">
        <v>85</v>
      </c>
      <c r="E9" s="139"/>
      <c r="F9" s="140"/>
    </row>
    <row r="10" spans="2:6" ht="8.25" customHeight="1">
      <c r="B10" s="99"/>
      <c r="C10" s="98"/>
      <c r="D10" s="100"/>
      <c r="E10" s="100"/>
      <c r="F10" s="100"/>
    </row>
    <row r="11" spans="2:6">
      <c r="B11" s="123" t="s">
        <v>89</v>
      </c>
      <c r="C11" s="122"/>
      <c r="D11" s="122"/>
      <c r="E11" s="122"/>
      <c r="F11" s="124"/>
    </row>
    <row r="12" spans="2:6">
      <c r="B12" s="121" t="s">
        <v>0</v>
      </c>
      <c r="C12" s="120" t="s">
        <v>5</v>
      </c>
      <c r="D12" s="120" t="s">
        <v>1</v>
      </c>
      <c r="E12" s="120" t="s">
        <v>86</v>
      </c>
      <c r="F12" s="119" t="s">
        <v>78</v>
      </c>
    </row>
    <row r="13" spans="2:6">
      <c r="B13" s="31">
        <v>2</v>
      </c>
      <c r="C13" s="119">
        <v>12</v>
      </c>
      <c r="D13" s="119" t="s">
        <v>53</v>
      </c>
      <c r="E13" s="119">
        <v>95</v>
      </c>
      <c r="F13" s="124">
        <v>1140</v>
      </c>
    </row>
    <row r="14" spans="2:6">
      <c r="B14" s="31">
        <v>7</v>
      </c>
      <c r="C14" s="119">
        <v>13.23</v>
      </c>
      <c r="D14" s="119" t="s">
        <v>55</v>
      </c>
      <c r="E14" s="119">
        <v>150</v>
      </c>
      <c r="F14" s="124">
        <v>1984.5</v>
      </c>
    </row>
    <row r="15" spans="2:6">
      <c r="B15" s="31">
        <v>8</v>
      </c>
      <c r="C15" s="119">
        <v>0.96</v>
      </c>
      <c r="D15" s="119" t="s">
        <v>74</v>
      </c>
      <c r="E15" s="119">
        <v>150</v>
      </c>
      <c r="F15" s="124">
        <v>144</v>
      </c>
    </row>
    <row r="16" spans="2:6">
      <c r="B16" s="31">
        <v>10</v>
      </c>
      <c r="C16" s="119">
        <v>18</v>
      </c>
      <c r="D16" s="119" t="s">
        <v>139</v>
      </c>
      <c r="E16" s="119">
        <v>75</v>
      </c>
      <c r="F16" s="124">
        <v>1350</v>
      </c>
    </row>
    <row r="17" spans="2:6">
      <c r="B17" s="31">
        <v>12</v>
      </c>
      <c r="C17" s="119">
        <v>22.42</v>
      </c>
      <c r="D17" s="119" t="s">
        <v>44</v>
      </c>
      <c r="E17" s="119">
        <v>160</v>
      </c>
      <c r="F17" s="124">
        <v>3587.2000000000003</v>
      </c>
    </row>
    <row r="18" spans="2:6">
      <c r="B18" s="31">
        <v>17</v>
      </c>
      <c r="C18" s="119">
        <v>1.86</v>
      </c>
      <c r="D18" s="119" t="s">
        <v>60</v>
      </c>
      <c r="E18" s="119">
        <v>130</v>
      </c>
      <c r="F18" s="124">
        <v>241.8</v>
      </c>
    </row>
    <row r="19" spans="2:6">
      <c r="B19" s="31">
        <v>18</v>
      </c>
      <c r="C19" s="119">
        <v>2.5499999999999998</v>
      </c>
      <c r="D19" s="119" t="s">
        <v>49</v>
      </c>
      <c r="E19" s="119">
        <v>38</v>
      </c>
      <c r="F19" s="124">
        <v>96.899999999999991</v>
      </c>
    </row>
    <row r="20" spans="2:6">
      <c r="B20" s="31">
        <v>20</v>
      </c>
      <c r="C20" s="119">
        <v>7.56</v>
      </c>
      <c r="D20" s="119" t="s">
        <v>51</v>
      </c>
      <c r="E20" s="119">
        <v>120</v>
      </c>
      <c r="F20" s="124">
        <v>907.19999999999993</v>
      </c>
    </row>
    <row r="21" spans="2:6">
      <c r="B21" s="122" t="s">
        <v>76</v>
      </c>
      <c r="C21" s="122"/>
      <c r="D21" s="122"/>
      <c r="E21" s="122"/>
      <c r="F21" s="124">
        <v>9451.6</v>
      </c>
    </row>
    <row r="22" spans="2:6">
      <c r="B22"/>
      <c r="C22"/>
      <c r="E22"/>
      <c r="F22"/>
    </row>
    <row r="23" spans="2:6">
      <c r="B23"/>
      <c r="C23"/>
      <c r="E23"/>
      <c r="F23"/>
    </row>
    <row r="24" spans="2:6">
      <c r="B24"/>
      <c r="C24"/>
      <c r="E24"/>
      <c r="F24"/>
    </row>
    <row r="25" spans="2:6">
      <c r="B25"/>
      <c r="C25"/>
      <c r="E25"/>
      <c r="F25"/>
    </row>
    <row r="26" spans="2:6">
      <c r="B26"/>
      <c r="C26"/>
      <c r="E26"/>
      <c r="F26"/>
    </row>
    <row r="27" spans="2:6">
      <c r="B27"/>
      <c r="C27"/>
      <c r="E27"/>
      <c r="F27"/>
    </row>
    <row r="28" spans="2:6">
      <c r="B28"/>
      <c r="C28"/>
      <c r="E28"/>
      <c r="F28"/>
    </row>
    <row r="29" spans="2:6">
      <c r="B29"/>
      <c r="C29"/>
      <c r="E29"/>
      <c r="F29"/>
    </row>
    <row r="30" spans="2:6">
      <c r="B30"/>
      <c r="C30"/>
      <c r="E30"/>
      <c r="F30"/>
    </row>
    <row r="31" spans="2:6">
      <c r="B31"/>
      <c r="C31"/>
      <c r="E31"/>
      <c r="F31"/>
    </row>
    <row r="32" spans="2:6">
      <c r="B32"/>
      <c r="C32"/>
      <c r="E32"/>
      <c r="F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6" orientation="portrait" horizontalDpi="300" verticalDpi="30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F61"/>
  <sheetViews>
    <sheetView workbookViewId="0">
      <selection activeCell="F22" sqref="A1:F22"/>
    </sheetView>
  </sheetViews>
  <sheetFormatPr baseColWidth="10" defaultRowHeight="15"/>
  <cols>
    <col min="1" max="1" width="1" customWidth="1"/>
    <col min="2" max="2" width="8.42578125" style="52" customWidth="1"/>
    <col min="3" max="3" width="9.42578125" style="52" customWidth="1"/>
    <col min="4" max="4" width="46.140625" customWidth="1"/>
    <col min="5" max="5" width="9.85546875" style="35" bestFit="1" customWidth="1"/>
    <col min="6" max="6" width="9.140625" style="97" bestFit="1" customWidth="1"/>
    <col min="7" max="7" width="20.28515625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44576</v>
      </c>
      <c r="E5" s="147" t="s">
        <v>116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31" t="s">
        <v>103</v>
      </c>
      <c r="E7" s="151"/>
      <c r="F7" s="152"/>
    </row>
    <row r="8" spans="2:6">
      <c r="B8" s="133" t="s">
        <v>83</v>
      </c>
      <c r="C8" s="134"/>
      <c r="D8" s="135"/>
      <c r="E8" s="135"/>
      <c r="F8" s="136"/>
    </row>
    <row r="9" spans="2:6" ht="15.75" thickBot="1">
      <c r="B9" s="137" t="s">
        <v>84</v>
      </c>
      <c r="C9" s="138"/>
      <c r="D9" s="139" t="s">
        <v>85</v>
      </c>
      <c r="E9" s="139"/>
      <c r="F9" s="140"/>
    </row>
    <row r="10" spans="2:6" ht="8.25" customHeight="1">
      <c r="B10" s="99"/>
      <c r="C10" s="98"/>
      <c r="D10" s="100"/>
      <c r="E10" s="100"/>
      <c r="F10" s="100"/>
    </row>
    <row r="11" spans="2:6">
      <c r="B11" s="123" t="s">
        <v>90</v>
      </c>
      <c r="C11" s="122"/>
      <c r="D11" s="122"/>
      <c r="E11" s="122"/>
      <c r="F11" s="124"/>
    </row>
    <row r="12" spans="2:6">
      <c r="B12" s="121" t="s">
        <v>0</v>
      </c>
      <c r="C12" s="120" t="s">
        <v>6</v>
      </c>
      <c r="D12" s="120" t="s">
        <v>1</v>
      </c>
      <c r="E12" s="120" t="s">
        <v>86</v>
      </c>
      <c r="F12" s="119" t="s">
        <v>78</v>
      </c>
    </row>
    <row r="13" spans="2:6">
      <c r="B13" s="31">
        <v>3</v>
      </c>
      <c r="C13" s="119">
        <v>14.4</v>
      </c>
      <c r="D13" s="119" t="s">
        <v>56</v>
      </c>
      <c r="E13" s="119">
        <v>82</v>
      </c>
      <c r="F13" s="124">
        <v>1180.8</v>
      </c>
    </row>
    <row r="14" spans="2:6">
      <c r="B14" s="31">
        <v>7</v>
      </c>
      <c r="C14" s="119">
        <v>25.35</v>
      </c>
      <c r="D14" s="119" t="s">
        <v>55</v>
      </c>
      <c r="E14" s="119">
        <v>150</v>
      </c>
      <c r="F14" s="124">
        <v>3802.5</v>
      </c>
    </row>
    <row r="15" spans="2:6">
      <c r="B15" s="31">
        <v>12</v>
      </c>
      <c r="C15" s="119">
        <v>0.93</v>
      </c>
      <c r="D15" s="119" t="s">
        <v>44</v>
      </c>
      <c r="E15" s="119">
        <v>160</v>
      </c>
      <c r="F15" s="124">
        <v>148.80000000000001</v>
      </c>
    </row>
    <row r="16" spans="2:6">
      <c r="B16" s="31">
        <v>15</v>
      </c>
      <c r="C16" s="119">
        <v>12</v>
      </c>
      <c r="D16" s="119" t="s">
        <v>48</v>
      </c>
      <c r="E16" s="119">
        <v>140</v>
      </c>
      <c r="F16" s="124">
        <v>1680</v>
      </c>
    </row>
    <row r="17" spans="2:6">
      <c r="B17" s="31">
        <v>16</v>
      </c>
      <c r="C17" s="119">
        <v>4.5</v>
      </c>
      <c r="D17" s="119" t="s">
        <v>59</v>
      </c>
      <c r="E17" s="119">
        <v>145</v>
      </c>
      <c r="F17" s="124">
        <v>652.5</v>
      </c>
    </row>
    <row r="18" spans="2:6">
      <c r="B18" s="31">
        <v>17</v>
      </c>
      <c r="C18" s="119">
        <v>1.08</v>
      </c>
      <c r="D18" s="119" t="s">
        <v>60</v>
      </c>
      <c r="E18" s="119">
        <v>130</v>
      </c>
      <c r="F18" s="124">
        <v>140.4</v>
      </c>
    </row>
    <row r="19" spans="2:6">
      <c r="B19" s="31">
        <v>18</v>
      </c>
      <c r="C19" s="119">
        <v>20.8</v>
      </c>
      <c r="D19" s="119" t="s">
        <v>49</v>
      </c>
      <c r="E19" s="119">
        <v>38</v>
      </c>
      <c r="F19" s="124">
        <v>790.4</v>
      </c>
    </row>
    <row r="20" spans="2:6">
      <c r="B20" s="31">
        <v>20</v>
      </c>
      <c r="C20" s="119">
        <v>2.58</v>
      </c>
      <c r="D20" s="119" t="s">
        <v>51</v>
      </c>
      <c r="E20" s="119">
        <v>120</v>
      </c>
      <c r="F20" s="124">
        <v>309.60000000000002</v>
      </c>
    </row>
    <row r="21" spans="2:6">
      <c r="B21" s="31">
        <v>23</v>
      </c>
      <c r="C21" s="119">
        <v>2.5</v>
      </c>
      <c r="D21" s="119" t="s">
        <v>61</v>
      </c>
      <c r="E21" s="119">
        <v>40</v>
      </c>
      <c r="F21" s="124">
        <v>100</v>
      </c>
    </row>
    <row r="22" spans="2:6">
      <c r="B22" s="122" t="s">
        <v>76</v>
      </c>
      <c r="C22" s="122"/>
      <c r="D22" s="122"/>
      <c r="E22" s="122"/>
      <c r="F22" s="124">
        <v>8805</v>
      </c>
    </row>
    <row r="23" spans="2:6">
      <c r="B23"/>
      <c r="C23"/>
      <c r="E23"/>
      <c r="F23"/>
    </row>
    <row r="24" spans="2:6">
      <c r="B24"/>
      <c r="C24"/>
      <c r="E24"/>
      <c r="F24"/>
    </row>
    <row r="25" spans="2:6">
      <c r="B25"/>
      <c r="C25"/>
      <c r="E25"/>
      <c r="F25"/>
    </row>
    <row r="26" spans="2:6">
      <c r="B26"/>
      <c r="C26"/>
      <c r="E26"/>
      <c r="F26"/>
    </row>
    <row r="27" spans="2:6">
      <c r="B27"/>
      <c r="C27"/>
      <c r="E27"/>
      <c r="F27"/>
    </row>
    <row r="28" spans="2:6">
      <c r="B28"/>
      <c r="C28"/>
      <c r="E28"/>
      <c r="F28"/>
    </row>
    <row r="29" spans="2:6">
      <c r="B29"/>
      <c r="C29"/>
      <c r="E29"/>
      <c r="F29"/>
    </row>
    <row r="30" spans="2:6">
      <c r="B30"/>
      <c r="C30"/>
      <c r="E30"/>
      <c r="F30"/>
    </row>
    <row r="31" spans="2:6">
      <c r="B31"/>
      <c r="C31"/>
      <c r="E31"/>
      <c r="F31"/>
    </row>
    <row r="32" spans="2:6">
      <c r="B32"/>
      <c r="C32"/>
      <c r="E32"/>
      <c r="F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6" orientation="portrait" horizontalDpi="300" verticalDpi="30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F61"/>
  <sheetViews>
    <sheetView workbookViewId="0">
      <selection activeCell="F22" sqref="A1:F22"/>
    </sheetView>
  </sheetViews>
  <sheetFormatPr baseColWidth="10" defaultRowHeight="15"/>
  <cols>
    <col min="1" max="1" width="1" customWidth="1"/>
    <col min="2" max="2" width="8.42578125" style="52" customWidth="1"/>
    <col min="3" max="3" width="9.42578125" style="52" customWidth="1"/>
    <col min="4" max="4" width="46.140625" customWidth="1"/>
    <col min="5" max="5" width="9.85546875" style="35" bestFit="1" customWidth="1"/>
    <col min="6" max="6" width="10.140625" style="97" bestFit="1" customWidth="1"/>
    <col min="7" max="7" width="9.140625" bestFit="1" customWidth="1"/>
    <col min="8" max="8" width="22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44577</v>
      </c>
      <c r="E5" s="147" t="s">
        <v>110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31" t="s">
        <v>103</v>
      </c>
      <c r="E7" s="131"/>
      <c r="F7" s="132"/>
    </row>
    <row r="8" spans="2:6">
      <c r="B8" s="133" t="s">
        <v>83</v>
      </c>
      <c r="C8" s="134"/>
      <c r="D8" s="135"/>
      <c r="E8" s="135"/>
      <c r="F8" s="136"/>
    </row>
    <row r="9" spans="2:6" ht="15.75" thickBot="1">
      <c r="B9" s="137" t="s">
        <v>84</v>
      </c>
      <c r="C9" s="138"/>
      <c r="D9" s="139" t="s">
        <v>85</v>
      </c>
      <c r="E9" s="139"/>
      <c r="F9" s="140"/>
    </row>
    <row r="10" spans="2:6" ht="8.25" customHeight="1">
      <c r="B10" s="99"/>
      <c r="C10" s="98"/>
      <c r="D10" s="100"/>
      <c r="E10" s="100"/>
      <c r="F10" s="100"/>
    </row>
    <row r="11" spans="2:6">
      <c r="B11" s="123" t="s">
        <v>91</v>
      </c>
      <c r="C11" s="122"/>
      <c r="D11" s="122"/>
      <c r="E11" s="122"/>
      <c r="F11" s="124"/>
    </row>
    <row r="12" spans="2:6">
      <c r="B12" s="121" t="s">
        <v>0</v>
      </c>
      <c r="C12" s="120" t="s">
        <v>7</v>
      </c>
      <c r="D12" s="120" t="s">
        <v>1</v>
      </c>
      <c r="E12" s="120" t="s">
        <v>86</v>
      </c>
      <c r="F12" s="119" t="s">
        <v>78</v>
      </c>
    </row>
    <row r="13" spans="2:6">
      <c r="B13" s="31">
        <v>3</v>
      </c>
      <c r="C13" s="119">
        <v>12</v>
      </c>
      <c r="D13" s="119" t="s">
        <v>56</v>
      </c>
      <c r="E13" s="119">
        <v>82</v>
      </c>
      <c r="F13" s="124">
        <v>984</v>
      </c>
    </row>
    <row r="14" spans="2:6">
      <c r="B14" s="31">
        <v>5</v>
      </c>
      <c r="C14" s="119">
        <v>65</v>
      </c>
      <c r="D14" s="119" t="s">
        <v>138</v>
      </c>
      <c r="E14" s="119">
        <v>90</v>
      </c>
      <c r="F14" s="124">
        <v>5850</v>
      </c>
    </row>
    <row r="15" spans="2:6">
      <c r="B15" s="31">
        <v>7</v>
      </c>
      <c r="C15" s="119">
        <v>3.96</v>
      </c>
      <c r="D15" s="119" t="s">
        <v>55</v>
      </c>
      <c r="E15" s="119">
        <v>150</v>
      </c>
      <c r="F15" s="124">
        <v>594</v>
      </c>
    </row>
    <row r="16" spans="2:6">
      <c r="B16" s="31">
        <v>10</v>
      </c>
      <c r="C16" s="119">
        <v>21.75</v>
      </c>
      <c r="D16" s="119" t="s">
        <v>139</v>
      </c>
      <c r="E16" s="119">
        <v>75</v>
      </c>
      <c r="F16" s="124">
        <v>1631.25</v>
      </c>
    </row>
    <row r="17" spans="2:6">
      <c r="B17" s="31">
        <v>15</v>
      </c>
      <c r="C17" s="119">
        <v>10</v>
      </c>
      <c r="D17" s="119" t="s">
        <v>48</v>
      </c>
      <c r="E17" s="119">
        <v>140</v>
      </c>
      <c r="F17" s="124">
        <v>1400</v>
      </c>
    </row>
    <row r="18" spans="2:6">
      <c r="B18" s="31">
        <v>17</v>
      </c>
      <c r="C18" s="119">
        <v>0.72</v>
      </c>
      <c r="D18" s="119" t="s">
        <v>60</v>
      </c>
      <c r="E18" s="119">
        <v>130</v>
      </c>
      <c r="F18" s="124">
        <v>93.6</v>
      </c>
    </row>
    <row r="19" spans="2:6">
      <c r="B19" s="31">
        <v>18</v>
      </c>
      <c r="C19" s="119">
        <v>2.41</v>
      </c>
      <c r="D19" s="119" t="s">
        <v>49</v>
      </c>
      <c r="E19" s="119">
        <v>38</v>
      </c>
      <c r="F19" s="124">
        <v>91.580000000000013</v>
      </c>
    </row>
    <row r="20" spans="2:6">
      <c r="B20" s="31">
        <v>20</v>
      </c>
      <c r="C20" s="119">
        <v>5.04</v>
      </c>
      <c r="D20" s="119" t="s">
        <v>51</v>
      </c>
      <c r="E20" s="119">
        <v>120</v>
      </c>
      <c r="F20" s="124">
        <v>604.79999999999995</v>
      </c>
    </row>
    <row r="21" spans="2:6">
      <c r="B21" s="31">
        <v>25</v>
      </c>
      <c r="C21" s="119">
        <v>0.6</v>
      </c>
      <c r="D21" s="119" t="s">
        <v>63</v>
      </c>
      <c r="E21" s="119">
        <v>140</v>
      </c>
      <c r="F21" s="124">
        <v>84</v>
      </c>
    </row>
    <row r="22" spans="2:6">
      <c r="B22" s="122" t="s">
        <v>76</v>
      </c>
      <c r="C22" s="122"/>
      <c r="D22" s="122"/>
      <c r="E22" s="122"/>
      <c r="F22" s="124">
        <v>11333.23</v>
      </c>
    </row>
    <row r="23" spans="2:6">
      <c r="B23"/>
      <c r="C23"/>
      <c r="E23"/>
      <c r="F23"/>
    </row>
    <row r="24" spans="2:6">
      <c r="B24"/>
      <c r="C24"/>
      <c r="E24"/>
      <c r="F24"/>
    </row>
    <row r="25" spans="2:6">
      <c r="B25"/>
      <c r="C25"/>
      <c r="E25"/>
      <c r="F25"/>
    </row>
    <row r="26" spans="2:6">
      <c r="B26"/>
      <c r="C26"/>
      <c r="E26"/>
      <c r="F26"/>
    </row>
    <row r="27" spans="2:6">
      <c r="B27"/>
      <c r="C27"/>
      <c r="E27"/>
      <c r="F27"/>
    </row>
    <row r="28" spans="2:6">
      <c r="B28"/>
      <c r="C28"/>
      <c r="E28"/>
      <c r="F28"/>
    </row>
    <row r="29" spans="2:6">
      <c r="B29"/>
      <c r="C29"/>
      <c r="E29"/>
      <c r="F29"/>
    </row>
    <row r="30" spans="2:6">
      <c r="B30"/>
      <c r="C30"/>
      <c r="E30"/>
      <c r="F30"/>
    </row>
    <row r="31" spans="2:6">
      <c r="B31"/>
      <c r="C31"/>
      <c r="E31"/>
      <c r="F31"/>
    </row>
    <row r="32" spans="2:6">
      <c r="B32"/>
      <c r="C32"/>
      <c r="E32"/>
      <c r="F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5" orientation="portrait" horizontalDpi="300" verticalDpi="300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F61"/>
  <sheetViews>
    <sheetView workbookViewId="0">
      <selection activeCell="F18" sqref="A1:F18"/>
    </sheetView>
  </sheetViews>
  <sheetFormatPr baseColWidth="10" defaultRowHeight="15"/>
  <cols>
    <col min="1" max="1" width="1" customWidth="1"/>
    <col min="2" max="2" width="8.42578125" style="52" customWidth="1"/>
    <col min="3" max="3" width="9.42578125" style="52" customWidth="1"/>
    <col min="4" max="4" width="46.140625" customWidth="1"/>
    <col min="5" max="5" width="9.85546875" style="35" bestFit="1" customWidth="1"/>
    <col min="6" max="6" width="9.140625" style="97" bestFit="1" customWidth="1"/>
    <col min="7" max="7" width="9.140625" bestFit="1" customWidth="1"/>
    <col min="8" max="8" width="19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44578</v>
      </c>
      <c r="E5" s="147" t="s">
        <v>113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31" t="s">
        <v>103</v>
      </c>
      <c r="E7" s="131"/>
      <c r="F7" s="132"/>
    </row>
    <row r="8" spans="2:6">
      <c r="B8" s="133" t="s">
        <v>83</v>
      </c>
      <c r="C8" s="134"/>
      <c r="D8" s="135"/>
      <c r="E8" s="135"/>
      <c r="F8" s="136"/>
    </row>
    <row r="9" spans="2:6" ht="15.75" thickBot="1">
      <c r="B9" s="137" t="s">
        <v>84</v>
      </c>
      <c r="C9" s="138"/>
      <c r="D9" s="139" t="s">
        <v>85</v>
      </c>
      <c r="E9" s="139"/>
      <c r="F9" s="140"/>
    </row>
    <row r="10" spans="2:6" ht="8.25" customHeight="1">
      <c r="B10" s="99"/>
      <c r="C10" s="98"/>
      <c r="D10" s="100"/>
      <c r="E10" s="100"/>
      <c r="F10" s="100"/>
    </row>
    <row r="11" spans="2:6">
      <c r="B11" s="123" t="s">
        <v>92</v>
      </c>
      <c r="C11" s="122"/>
      <c r="D11" s="122"/>
      <c r="E11" s="122"/>
      <c r="F11" s="124"/>
    </row>
    <row r="12" spans="2:6">
      <c r="B12" s="121" t="s">
        <v>0</v>
      </c>
      <c r="C12" s="120" t="s">
        <v>8</v>
      </c>
      <c r="D12" s="120" t="s">
        <v>1</v>
      </c>
      <c r="E12" s="120" t="s">
        <v>86</v>
      </c>
      <c r="F12" s="119" t="s">
        <v>78</v>
      </c>
    </row>
    <row r="13" spans="2:6">
      <c r="B13" s="31">
        <v>2</v>
      </c>
      <c r="C13" s="119">
        <v>14.4</v>
      </c>
      <c r="D13" s="119" t="s">
        <v>53</v>
      </c>
      <c r="E13" s="119">
        <v>95</v>
      </c>
      <c r="F13" s="124">
        <v>1368</v>
      </c>
    </row>
    <row r="14" spans="2:6">
      <c r="B14" s="31">
        <v>7</v>
      </c>
      <c r="C14" s="119">
        <v>31.55</v>
      </c>
      <c r="D14" s="119" t="s">
        <v>55</v>
      </c>
      <c r="E14" s="119">
        <v>150</v>
      </c>
      <c r="F14" s="124">
        <v>4732.5</v>
      </c>
    </row>
    <row r="15" spans="2:6">
      <c r="B15" s="31">
        <v>17</v>
      </c>
      <c r="C15" s="119">
        <v>12.12</v>
      </c>
      <c r="D15" s="119" t="s">
        <v>60</v>
      </c>
      <c r="E15" s="119">
        <v>130</v>
      </c>
      <c r="F15" s="124">
        <v>1575.6</v>
      </c>
    </row>
    <row r="16" spans="2:6">
      <c r="B16" s="31">
        <v>18</v>
      </c>
      <c r="C16" s="119">
        <v>5.19</v>
      </c>
      <c r="D16" s="119" t="s">
        <v>49</v>
      </c>
      <c r="E16" s="119">
        <v>38</v>
      </c>
      <c r="F16" s="124">
        <v>197.22000000000003</v>
      </c>
    </row>
    <row r="17" spans="2:6">
      <c r="B17" s="31">
        <v>20</v>
      </c>
      <c r="C17" s="119">
        <v>3.84</v>
      </c>
      <c r="D17" s="119" t="s">
        <v>51</v>
      </c>
      <c r="E17" s="119">
        <v>120</v>
      </c>
      <c r="F17" s="124">
        <v>460.79999999999995</v>
      </c>
    </row>
    <row r="18" spans="2:6">
      <c r="B18" s="122" t="s">
        <v>76</v>
      </c>
      <c r="C18" s="122"/>
      <c r="D18" s="122"/>
      <c r="E18" s="122"/>
      <c r="F18" s="124">
        <v>8334.1200000000008</v>
      </c>
    </row>
    <row r="19" spans="2:6">
      <c r="B19"/>
      <c r="C19"/>
      <c r="E19"/>
      <c r="F19"/>
    </row>
    <row r="20" spans="2:6">
      <c r="B20"/>
      <c r="C20"/>
      <c r="E20"/>
      <c r="F20"/>
    </row>
    <row r="21" spans="2:6">
      <c r="B21"/>
      <c r="C21"/>
      <c r="E21"/>
      <c r="F21"/>
    </row>
    <row r="22" spans="2:6">
      <c r="B22"/>
      <c r="C22"/>
      <c r="E22"/>
      <c r="F22"/>
    </row>
    <row r="23" spans="2:6">
      <c r="B23"/>
      <c r="C23"/>
      <c r="E23"/>
      <c r="F23"/>
    </row>
    <row r="24" spans="2:6">
      <c r="B24"/>
      <c r="C24"/>
      <c r="E24"/>
      <c r="F24"/>
    </row>
    <row r="25" spans="2:6">
      <c r="B25"/>
      <c r="C25"/>
      <c r="E25"/>
      <c r="F25"/>
    </row>
    <row r="26" spans="2:6">
      <c r="B26"/>
      <c r="C26"/>
      <c r="E26"/>
      <c r="F26"/>
    </row>
    <row r="27" spans="2:6">
      <c r="B27"/>
      <c r="C27"/>
      <c r="E27"/>
      <c r="F27"/>
    </row>
    <row r="28" spans="2:6">
      <c r="B28"/>
      <c r="C28"/>
      <c r="E28"/>
      <c r="F28"/>
    </row>
    <row r="29" spans="2:6">
      <c r="B29"/>
      <c r="C29"/>
      <c r="E29"/>
      <c r="F29"/>
    </row>
    <row r="30" spans="2:6">
      <c r="B30"/>
      <c r="C30"/>
      <c r="E30"/>
      <c r="F30"/>
    </row>
    <row r="31" spans="2:6">
      <c r="B31"/>
      <c r="C31"/>
      <c r="E31"/>
      <c r="F31"/>
    </row>
    <row r="32" spans="2:6">
      <c r="B32"/>
      <c r="C32"/>
      <c r="E32"/>
      <c r="F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6" orientation="portrait" horizontalDpi="300" verticalDpi="300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F38"/>
  <sheetViews>
    <sheetView workbookViewId="0">
      <selection activeCell="F22" sqref="A1:F22"/>
    </sheetView>
  </sheetViews>
  <sheetFormatPr baseColWidth="10" defaultRowHeight="15"/>
  <cols>
    <col min="1" max="1" width="1" customWidth="1"/>
    <col min="2" max="2" width="8.42578125" style="52" customWidth="1"/>
    <col min="3" max="3" width="9.42578125" style="52" customWidth="1"/>
    <col min="4" max="4" width="46.140625" customWidth="1"/>
    <col min="5" max="5" width="9.85546875" style="35" bestFit="1" customWidth="1"/>
    <col min="6" max="6" width="10.140625" style="97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44572</v>
      </c>
      <c r="E5" s="147" t="s">
        <v>131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31" t="s">
        <v>104</v>
      </c>
      <c r="E7" s="131"/>
      <c r="F7" s="132"/>
    </row>
    <row r="8" spans="2:6">
      <c r="B8" s="133" t="s">
        <v>83</v>
      </c>
      <c r="C8" s="134"/>
      <c r="D8" s="135"/>
      <c r="E8" s="135"/>
      <c r="F8" s="136"/>
    </row>
    <row r="9" spans="2:6" ht="15.75" thickBot="1">
      <c r="B9" s="137" t="s">
        <v>84</v>
      </c>
      <c r="C9" s="138"/>
      <c r="D9" s="139" t="s">
        <v>85</v>
      </c>
      <c r="E9" s="139"/>
      <c r="F9" s="140"/>
    </row>
    <row r="10" spans="2:6" ht="8.25" customHeight="1">
      <c r="B10" s="99"/>
      <c r="C10" s="98"/>
      <c r="D10" s="100"/>
      <c r="E10" s="100"/>
      <c r="F10" s="100"/>
    </row>
    <row r="11" spans="2:6">
      <c r="B11" s="123" t="s">
        <v>77</v>
      </c>
      <c r="C11" s="122"/>
      <c r="D11" s="122"/>
      <c r="E11" s="122"/>
      <c r="F11" s="124"/>
    </row>
    <row r="12" spans="2:6">
      <c r="B12" s="121" t="s">
        <v>0</v>
      </c>
      <c r="C12" s="120" t="s">
        <v>2</v>
      </c>
      <c r="D12" s="120" t="s">
        <v>1</v>
      </c>
      <c r="E12" s="120" t="s">
        <v>86</v>
      </c>
      <c r="F12" s="119" t="s">
        <v>78</v>
      </c>
    </row>
    <row r="13" spans="2:6">
      <c r="B13" s="31">
        <v>6</v>
      </c>
      <c r="C13" s="119">
        <v>7</v>
      </c>
      <c r="D13" s="119" t="s">
        <v>55</v>
      </c>
      <c r="E13" s="119">
        <v>150</v>
      </c>
      <c r="F13" s="124">
        <v>1050</v>
      </c>
    </row>
    <row r="14" spans="2:6">
      <c r="B14" s="31">
        <v>7</v>
      </c>
      <c r="C14" s="119">
        <v>1</v>
      </c>
      <c r="D14" s="119" t="s">
        <v>74</v>
      </c>
      <c r="E14" s="119">
        <v>150</v>
      </c>
      <c r="F14" s="124">
        <v>150</v>
      </c>
    </row>
    <row r="15" spans="2:6">
      <c r="B15" s="31">
        <v>9</v>
      </c>
      <c r="C15" s="119">
        <v>15</v>
      </c>
      <c r="D15" s="119" t="s">
        <v>139</v>
      </c>
      <c r="E15" s="119">
        <v>75</v>
      </c>
      <c r="F15" s="124">
        <v>1125</v>
      </c>
    </row>
    <row r="16" spans="2:6">
      <c r="B16" s="31">
        <v>15</v>
      </c>
      <c r="C16" s="119">
        <v>17</v>
      </c>
      <c r="D16" s="119" t="s">
        <v>59</v>
      </c>
      <c r="E16" s="119">
        <v>145</v>
      </c>
      <c r="F16" s="124">
        <v>2465</v>
      </c>
    </row>
    <row r="17" spans="2:6">
      <c r="B17" s="31">
        <v>16</v>
      </c>
      <c r="C17" s="119">
        <v>10</v>
      </c>
      <c r="D17" s="119" t="s">
        <v>60</v>
      </c>
      <c r="E17" s="119">
        <v>130</v>
      </c>
      <c r="F17" s="124">
        <v>1300</v>
      </c>
    </row>
    <row r="18" spans="2:6">
      <c r="B18" s="31">
        <v>17</v>
      </c>
      <c r="C18" s="119">
        <v>17</v>
      </c>
      <c r="D18" s="119" t="s">
        <v>49</v>
      </c>
      <c r="E18" s="119">
        <v>38</v>
      </c>
      <c r="F18" s="124">
        <v>646</v>
      </c>
    </row>
    <row r="19" spans="2:6">
      <c r="B19" s="31">
        <v>19</v>
      </c>
      <c r="C19" s="119">
        <v>8</v>
      </c>
      <c r="D19" s="119" t="s">
        <v>51</v>
      </c>
      <c r="E19" s="119">
        <v>120</v>
      </c>
      <c r="F19" s="124">
        <v>960</v>
      </c>
    </row>
    <row r="20" spans="2:6">
      <c r="B20" s="31">
        <v>23</v>
      </c>
      <c r="C20" s="119">
        <v>2</v>
      </c>
      <c r="D20" s="119" t="s">
        <v>62</v>
      </c>
      <c r="E20" s="119">
        <v>50</v>
      </c>
      <c r="F20" s="124">
        <v>100</v>
      </c>
    </row>
    <row r="21" spans="2:6">
      <c r="B21" s="31">
        <v>24</v>
      </c>
      <c r="C21" s="119">
        <v>0.7</v>
      </c>
      <c r="D21" s="119" t="s">
        <v>63</v>
      </c>
      <c r="E21" s="119">
        <v>140</v>
      </c>
      <c r="F21" s="124">
        <v>98</v>
      </c>
    </row>
    <row r="22" spans="2:6">
      <c r="B22" s="122" t="s">
        <v>76</v>
      </c>
      <c r="C22" s="122"/>
      <c r="D22" s="122"/>
      <c r="E22" s="122"/>
      <c r="F22" s="126">
        <v>7894</v>
      </c>
    </row>
    <row r="23" spans="2:6">
      <c r="B23"/>
      <c r="C23"/>
      <c r="E23"/>
      <c r="F23"/>
    </row>
    <row r="24" spans="2:6">
      <c r="B24"/>
      <c r="C24"/>
      <c r="E24"/>
      <c r="F24"/>
    </row>
    <row r="25" spans="2:6">
      <c r="B25"/>
      <c r="C25"/>
      <c r="E25"/>
      <c r="F25"/>
    </row>
    <row r="26" spans="2:6">
      <c r="B26"/>
      <c r="C26"/>
      <c r="E26"/>
      <c r="F26"/>
    </row>
    <row r="27" spans="2:6">
      <c r="B27"/>
      <c r="C27"/>
      <c r="E27"/>
      <c r="F27"/>
    </row>
    <row r="28" spans="2:6">
      <c r="B28"/>
      <c r="C28"/>
      <c r="E28"/>
      <c r="F28"/>
    </row>
    <row r="29" spans="2:6">
      <c r="B29"/>
      <c r="C29"/>
      <c r="E29"/>
      <c r="F29"/>
    </row>
    <row r="30" spans="2:6">
      <c r="B30"/>
      <c r="C30"/>
      <c r="E30"/>
      <c r="F30"/>
    </row>
    <row r="31" spans="2:6">
      <c r="B31"/>
      <c r="C31"/>
      <c r="E31"/>
      <c r="F31"/>
    </row>
    <row r="32" spans="2:6">
      <c r="B32"/>
      <c r="C32"/>
      <c r="E32"/>
      <c r="F32"/>
    </row>
    <row r="33" spans="2:6" customFormat="1"/>
    <row r="34" spans="2:6" customFormat="1"/>
    <row r="35" spans="2:6" customFormat="1"/>
    <row r="36" spans="2:6" customFormat="1"/>
    <row r="37" spans="2:6" customFormat="1"/>
    <row r="38" spans="2:6">
      <c r="B38"/>
      <c r="E38" s="52"/>
      <c r="F38"/>
    </row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5" orientation="portrait" horizontalDpi="300" verticalDpi="300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F61"/>
  <sheetViews>
    <sheetView workbookViewId="0">
      <selection activeCell="F19" sqref="A1:F19"/>
    </sheetView>
  </sheetViews>
  <sheetFormatPr baseColWidth="10" defaultRowHeight="15"/>
  <cols>
    <col min="1" max="1" width="1" customWidth="1"/>
    <col min="2" max="2" width="8.42578125" style="52" customWidth="1"/>
    <col min="3" max="3" width="9.42578125" style="52" customWidth="1"/>
    <col min="4" max="4" width="46.140625" customWidth="1"/>
    <col min="5" max="5" width="9.85546875" style="35" bestFit="1" customWidth="1"/>
    <col min="6" max="6" width="9.140625" style="97" bestFit="1" customWidth="1"/>
    <col min="7" max="7" width="22.85546875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44573</v>
      </c>
      <c r="E5" s="147" t="s">
        <v>121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31" t="s">
        <v>104</v>
      </c>
      <c r="E7" s="131"/>
      <c r="F7" s="132"/>
    </row>
    <row r="8" spans="2:6">
      <c r="B8" s="133" t="s">
        <v>83</v>
      </c>
      <c r="C8" s="134"/>
      <c r="D8" s="135"/>
      <c r="E8" s="135"/>
      <c r="F8" s="136"/>
    </row>
    <row r="9" spans="2:6" ht="15.75" thickBot="1">
      <c r="B9" s="137" t="s">
        <v>84</v>
      </c>
      <c r="C9" s="138"/>
      <c r="D9" s="139" t="s">
        <v>85</v>
      </c>
      <c r="E9" s="139"/>
      <c r="F9" s="140"/>
    </row>
    <row r="10" spans="2:6" ht="8.25" customHeight="1">
      <c r="B10" s="99"/>
      <c r="C10" s="98"/>
      <c r="D10" s="100"/>
      <c r="E10" s="100"/>
      <c r="F10" s="100"/>
    </row>
    <row r="11" spans="2:6">
      <c r="B11" s="123" t="s">
        <v>87</v>
      </c>
      <c r="C11" s="122"/>
      <c r="D11" s="122"/>
      <c r="E11" s="122"/>
      <c r="F11" s="124"/>
    </row>
    <row r="12" spans="2:6">
      <c r="B12" s="121" t="s">
        <v>0</v>
      </c>
      <c r="C12" s="120" t="s">
        <v>3</v>
      </c>
      <c r="D12" s="120" t="s">
        <v>1</v>
      </c>
      <c r="E12" s="120" t="s">
        <v>86</v>
      </c>
      <c r="F12" s="119" t="s">
        <v>78</v>
      </c>
    </row>
    <row r="13" spans="2:6">
      <c r="B13" s="31">
        <v>6</v>
      </c>
      <c r="C13" s="119">
        <v>16</v>
      </c>
      <c r="D13" s="119" t="s">
        <v>55</v>
      </c>
      <c r="E13" s="119">
        <v>150</v>
      </c>
      <c r="F13" s="124">
        <v>2400</v>
      </c>
    </row>
    <row r="14" spans="2:6">
      <c r="B14" s="31">
        <v>7</v>
      </c>
      <c r="C14" s="119">
        <v>3.5</v>
      </c>
      <c r="D14" s="119" t="s">
        <v>74</v>
      </c>
      <c r="E14" s="119">
        <v>150</v>
      </c>
      <c r="F14" s="124">
        <v>525</v>
      </c>
    </row>
    <row r="15" spans="2:6">
      <c r="B15" s="31">
        <v>9</v>
      </c>
      <c r="C15" s="119">
        <v>25</v>
      </c>
      <c r="D15" s="119" t="s">
        <v>139</v>
      </c>
      <c r="E15" s="119">
        <v>75</v>
      </c>
      <c r="F15" s="124">
        <v>1875</v>
      </c>
    </row>
    <row r="16" spans="2:6">
      <c r="B16" s="31">
        <v>11</v>
      </c>
      <c r="C16" s="119">
        <v>13</v>
      </c>
      <c r="D16" s="119" t="s">
        <v>44</v>
      </c>
      <c r="E16" s="119">
        <v>160</v>
      </c>
      <c r="F16" s="124">
        <v>2080</v>
      </c>
    </row>
    <row r="17" spans="2:6">
      <c r="B17" s="31">
        <v>16</v>
      </c>
      <c r="C17" s="119">
        <v>1</v>
      </c>
      <c r="D17" s="119" t="s">
        <v>60</v>
      </c>
      <c r="E17" s="119">
        <v>130</v>
      </c>
      <c r="F17" s="124">
        <v>130</v>
      </c>
    </row>
    <row r="18" spans="2:6">
      <c r="B18" s="31">
        <v>19</v>
      </c>
      <c r="C18" s="119">
        <v>7</v>
      </c>
      <c r="D18" s="119" t="s">
        <v>51</v>
      </c>
      <c r="E18" s="119">
        <v>120</v>
      </c>
      <c r="F18" s="124">
        <v>840</v>
      </c>
    </row>
    <row r="19" spans="2:6">
      <c r="B19" s="122" t="s">
        <v>76</v>
      </c>
      <c r="C19" s="122"/>
      <c r="D19" s="122"/>
      <c r="E19" s="122"/>
      <c r="F19" s="124">
        <v>7850</v>
      </c>
    </row>
    <row r="20" spans="2:6">
      <c r="B20"/>
      <c r="C20"/>
      <c r="E20"/>
      <c r="F20"/>
    </row>
    <row r="21" spans="2:6">
      <c r="B21"/>
      <c r="C21"/>
      <c r="E21"/>
      <c r="F21"/>
    </row>
    <row r="22" spans="2:6">
      <c r="B22"/>
      <c r="C22"/>
      <c r="E22"/>
      <c r="F22"/>
    </row>
    <row r="23" spans="2:6">
      <c r="B23"/>
      <c r="C23"/>
      <c r="E23"/>
      <c r="F23"/>
    </row>
    <row r="24" spans="2:6">
      <c r="B24"/>
      <c r="C24"/>
      <c r="E24"/>
      <c r="F24"/>
    </row>
    <row r="25" spans="2:6">
      <c r="B25"/>
      <c r="C25"/>
      <c r="E25"/>
      <c r="F25"/>
    </row>
    <row r="26" spans="2:6">
      <c r="B26"/>
      <c r="C26"/>
      <c r="E26"/>
      <c r="F26"/>
    </row>
    <row r="27" spans="2:6">
      <c r="B27"/>
      <c r="C27"/>
      <c r="E27"/>
      <c r="F27"/>
    </row>
    <row r="28" spans="2:6">
      <c r="B28"/>
      <c r="C28"/>
      <c r="E28"/>
      <c r="F28"/>
    </row>
    <row r="29" spans="2:6">
      <c r="B29"/>
      <c r="C29"/>
      <c r="E29"/>
      <c r="F29"/>
    </row>
    <row r="30" spans="2:6">
      <c r="B30"/>
      <c r="C30"/>
      <c r="E30"/>
      <c r="F30"/>
    </row>
    <row r="31" spans="2:6">
      <c r="B31"/>
      <c r="C31"/>
      <c r="E31"/>
      <c r="F31"/>
    </row>
    <row r="32" spans="2:6">
      <c r="B32"/>
      <c r="C32"/>
      <c r="E32"/>
      <c r="F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6" orientation="portrait" horizontalDpi="300" verticalDpi="300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F61"/>
  <sheetViews>
    <sheetView workbookViewId="0">
      <selection activeCell="F23" sqref="A1:F23"/>
    </sheetView>
  </sheetViews>
  <sheetFormatPr baseColWidth="10" defaultRowHeight="15"/>
  <cols>
    <col min="1" max="1" width="1" customWidth="1"/>
    <col min="2" max="2" width="8.42578125" style="52" customWidth="1"/>
    <col min="3" max="3" width="9.42578125" style="52" customWidth="1"/>
    <col min="4" max="4" width="46.140625" customWidth="1"/>
    <col min="5" max="5" width="9.85546875" style="35" bestFit="1" customWidth="1"/>
    <col min="6" max="6" width="9.140625" style="97" bestFit="1" customWidth="1"/>
    <col min="7" max="7" width="9.140625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44574</v>
      </c>
      <c r="E5" s="147" t="s">
        <v>124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31" t="s">
        <v>104</v>
      </c>
      <c r="E7" s="131"/>
      <c r="F7" s="132"/>
    </row>
    <row r="8" spans="2:6">
      <c r="B8" s="133" t="s">
        <v>83</v>
      </c>
      <c r="C8" s="134"/>
      <c r="D8" s="135"/>
      <c r="E8" s="135"/>
      <c r="F8" s="136"/>
    </row>
    <row r="9" spans="2:6" ht="15.75" thickBot="1">
      <c r="B9" s="137" t="s">
        <v>84</v>
      </c>
      <c r="C9" s="138"/>
      <c r="D9" s="139" t="s">
        <v>85</v>
      </c>
      <c r="E9" s="139"/>
      <c r="F9" s="140"/>
    </row>
    <row r="10" spans="2:6" ht="8.25" customHeight="1">
      <c r="B10" s="99"/>
      <c r="C10" s="98"/>
      <c r="D10" s="100"/>
      <c r="E10" s="100"/>
      <c r="F10" s="100"/>
    </row>
    <row r="11" spans="2:6">
      <c r="B11" s="123" t="s">
        <v>88</v>
      </c>
      <c r="C11" s="122"/>
      <c r="D11" s="122"/>
      <c r="E11" s="122"/>
      <c r="F11" s="124"/>
    </row>
    <row r="12" spans="2:6">
      <c r="B12" s="121" t="s">
        <v>0</v>
      </c>
      <c r="C12" s="120" t="s">
        <v>4</v>
      </c>
      <c r="D12" s="120" t="s">
        <v>1</v>
      </c>
      <c r="E12" s="120" t="s">
        <v>86</v>
      </c>
      <c r="F12" s="119" t="s">
        <v>78</v>
      </c>
    </row>
    <row r="13" spans="2:6">
      <c r="B13" s="31">
        <v>3</v>
      </c>
      <c r="C13" s="119">
        <v>17</v>
      </c>
      <c r="D13" s="119" t="s">
        <v>56</v>
      </c>
      <c r="E13" s="119">
        <v>82</v>
      </c>
      <c r="F13" s="124">
        <v>1394</v>
      </c>
    </row>
    <row r="14" spans="2:6">
      <c r="B14" s="31">
        <v>6</v>
      </c>
      <c r="C14" s="119">
        <v>1.5</v>
      </c>
      <c r="D14" s="119" t="s">
        <v>55</v>
      </c>
      <c r="E14" s="119">
        <v>150</v>
      </c>
      <c r="F14" s="124">
        <v>225</v>
      </c>
    </row>
    <row r="15" spans="2:6">
      <c r="B15" s="31">
        <v>7</v>
      </c>
      <c r="C15" s="119">
        <v>9</v>
      </c>
      <c r="D15" s="119" t="s">
        <v>74</v>
      </c>
      <c r="E15" s="119">
        <v>150</v>
      </c>
      <c r="F15" s="124">
        <v>1350</v>
      </c>
    </row>
    <row r="16" spans="2:6">
      <c r="B16" s="31">
        <v>11</v>
      </c>
      <c r="C16" s="119">
        <v>8</v>
      </c>
      <c r="D16" s="119" t="s">
        <v>44</v>
      </c>
      <c r="E16" s="119">
        <v>160</v>
      </c>
      <c r="F16" s="124">
        <v>1280</v>
      </c>
    </row>
    <row r="17" spans="2:6">
      <c r="B17" s="31">
        <v>16</v>
      </c>
      <c r="C17" s="119">
        <v>7.5</v>
      </c>
      <c r="D17" s="119" t="s">
        <v>60</v>
      </c>
      <c r="E17" s="119">
        <v>130</v>
      </c>
      <c r="F17" s="124">
        <v>975</v>
      </c>
    </row>
    <row r="18" spans="2:6">
      <c r="B18" s="31">
        <v>17</v>
      </c>
      <c r="C18" s="119">
        <v>20</v>
      </c>
      <c r="D18" s="119" t="s">
        <v>49</v>
      </c>
      <c r="E18" s="119">
        <v>38</v>
      </c>
      <c r="F18" s="124">
        <v>760</v>
      </c>
    </row>
    <row r="19" spans="2:6">
      <c r="B19" s="31">
        <v>19</v>
      </c>
      <c r="C19" s="119">
        <v>0.5</v>
      </c>
      <c r="D19" s="119" t="s">
        <v>51</v>
      </c>
      <c r="E19" s="119">
        <v>120</v>
      </c>
      <c r="F19" s="124">
        <v>60</v>
      </c>
    </row>
    <row r="20" spans="2:6">
      <c r="B20" s="31">
        <v>22</v>
      </c>
      <c r="C20" s="119">
        <v>2.5</v>
      </c>
      <c r="D20" s="119" t="s">
        <v>61</v>
      </c>
      <c r="E20" s="119">
        <v>40</v>
      </c>
      <c r="F20" s="124">
        <v>100</v>
      </c>
    </row>
    <row r="21" spans="2:6">
      <c r="B21" s="31">
        <v>23</v>
      </c>
      <c r="C21" s="119">
        <v>7</v>
      </c>
      <c r="D21" s="119" t="s">
        <v>62</v>
      </c>
      <c r="E21" s="119">
        <v>50</v>
      </c>
      <c r="F21" s="124">
        <v>350</v>
      </c>
    </row>
    <row r="22" spans="2:6">
      <c r="B22" s="31">
        <v>24</v>
      </c>
      <c r="C22" s="119">
        <v>0.8</v>
      </c>
      <c r="D22" s="119" t="s">
        <v>63</v>
      </c>
      <c r="E22" s="119">
        <v>140</v>
      </c>
      <c r="F22" s="124">
        <v>112</v>
      </c>
    </row>
    <row r="23" spans="2:6">
      <c r="B23" s="122" t="s">
        <v>76</v>
      </c>
      <c r="C23" s="122"/>
      <c r="D23" s="122"/>
      <c r="E23" s="122"/>
      <c r="F23" s="124">
        <v>6606</v>
      </c>
    </row>
    <row r="24" spans="2:6">
      <c r="B24"/>
      <c r="C24"/>
      <c r="E24"/>
      <c r="F24"/>
    </row>
    <row r="25" spans="2:6">
      <c r="B25"/>
      <c r="C25"/>
      <c r="E25"/>
      <c r="F25"/>
    </row>
    <row r="26" spans="2:6">
      <c r="B26"/>
      <c r="C26"/>
      <c r="E26"/>
      <c r="F26"/>
    </row>
    <row r="27" spans="2:6">
      <c r="B27"/>
      <c r="C27"/>
      <c r="E27"/>
      <c r="F27"/>
    </row>
    <row r="28" spans="2:6">
      <c r="B28"/>
      <c r="C28"/>
      <c r="E28"/>
      <c r="F28"/>
    </row>
    <row r="29" spans="2:6">
      <c r="B29"/>
      <c r="C29"/>
      <c r="E29"/>
      <c r="F29"/>
    </row>
    <row r="30" spans="2:6">
      <c r="B30"/>
      <c r="C30"/>
      <c r="E30"/>
      <c r="F30"/>
    </row>
    <row r="31" spans="2:6">
      <c r="B31"/>
      <c r="C31"/>
      <c r="E31"/>
      <c r="F31"/>
    </row>
    <row r="32" spans="2:6">
      <c r="B32"/>
      <c r="C32"/>
      <c r="E32"/>
      <c r="F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6" orientation="portrait" horizontalDpi="300" verticalDpi="300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F61"/>
  <sheetViews>
    <sheetView workbookViewId="0">
      <selection activeCell="F21" sqref="A1:F21"/>
    </sheetView>
  </sheetViews>
  <sheetFormatPr baseColWidth="10" defaultRowHeight="15"/>
  <cols>
    <col min="1" max="1" width="1" customWidth="1"/>
    <col min="2" max="2" width="8.42578125" style="52" customWidth="1"/>
    <col min="3" max="3" width="9.42578125" style="52" customWidth="1"/>
    <col min="4" max="4" width="46.140625" customWidth="1"/>
    <col min="5" max="5" width="9.85546875" style="35" bestFit="1" customWidth="1"/>
    <col min="6" max="6" width="9.140625" style="97" bestFit="1" customWidth="1"/>
    <col min="7" max="7" width="20.7109375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44575</v>
      </c>
      <c r="E5" s="147" t="s">
        <v>134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31" t="s">
        <v>104</v>
      </c>
      <c r="E7" s="131"/>
      <c r="F7" s="132"/>
    </row>
    <row r="8" spans="2:6">
      <c r="B8" s="133" t="s">
        <v>83</v>
      </c>
      <c r="C8" s="134"/>
      <c r="D8" s="135"/>
      <c r="E8" s="135"/>
      <c r="F8" s="136"/>
    </row>
    <row r="9" spans="2:6" ht="15.75" thickBot="1">
      <c r="B9" s="137" t="s">
        <v>84</v>
      </c>
      <c r="C9" s="138"/>
      <c r="D9" s="139" t="s">
        <v>85</v>
      </c>
      <c r="E9" s="139"/>
      <c r="F9" s="140"/>
    </row>
    <row r="10" spans="2:6" ht="8.25" customHeight="1">
      <c r="B10" s="99"/>
      <c r="C10" s="98"/>
      <c r="D10" s="100"/>
      <c r="E10" s="100"/>
      <c r="F10" s="100"/>
    </row>
    <row r="11" spans="2:6">
      <c r="B11" s="123" t="s">
        <v>89</v>
      </c>
      <c r="C11" s="122"/>
      <c r="D11" s="122"/>
      <c r="E11" s="122"/>
      <c r="F11" s="124"/>
    </row>
    <row r="12" spans="2:6">
      <c r="B12" s="121" t="s">
        <v>0</v>
      </c>
      <c r="C12" s="120" t="s">
        <v>5</v>
      </c>
      <c r="D12" s="120" t="s">
        <v>1</v>
      </c>
      <c r="E12" s="120" t="s">
        <v>86</v>
      </c>
      <c r="F12" s="119" t="s">
        <v>78</v>
      </c>
    </row>
    <row r="13" spans="2:6">
      <c r="B13" s="31">
        <v>2</v>
      </c>
      <c r="C13" s="119">
        <v>10</v>
      </c>
      <c r="D13" s="119" t="s">
        <v>53</v>
      </c>
      <c r="E13" s="119">
        <v>95</v>
      </c>
      <c r="F13" s="124">
        <v>950</v>
      </c>
    </row>
    <row r="14" spans="2:6">
      <c r="B14" s="31">
        <v>6</v>
      </c>
      <c r="C14" s="119">
        <v>13</v>
      </c>
      <c r="D14" s="119" t="s">
        <v>55</v>
      </c>
      <c r="E14" s="119">
        <v>150</v>
      </c>
      <c r="F14" s="124">
        <v>1950</v>
      </c>
    </row>
    <row r="15" spans="2:6">
      <c r="B15" s="31">
        <v>7</v>
      </c>
      <c r="C15" s="119">
        <v>1</v>
      </c>
      <c r="D15" s="119" t="s">
        <v>74</v>
      </c>
      <c r="E15" s="119">
        <v>150</v>
      </c>
      <c r="F15" s="124">
        <v>150</v>
      </c>
    </row>
    <row r="16" spans="2:6">
      <c r="B16" s="31">
        <v>9</v>
      </c>
      <c r="C16" s="119">
        <v>21</v>
      </c>
      <c r="D16" s="119" t="s">
        <v>139</v>
      </c>
      <c r="E16" s="119">
        <v>75</v>
      </c>
      <c r="F16" s="124">
        <v>1575</v>
      </c>
    </row>
    <row r="17" spans="2:6">
      <c r="B17" s="31">
        <v>11</v>
      </c>
      <c r="C17" s="119">
        <v>21</v>
      </c>
      <c r="D17" s="119" t="s">
        <v>44</v>
      </c>
      <c r="E17" s="119">
        <v>160</v>
      </c>
      <c r="F17" s="124">
        <v>3360</v>
      </c>
    </row>
    <row r="18" spans="2:6">
      <c r="B18" s="31">
        <v>16</v>
      </c>
      <c r="C18" s="119">
        <v>1.5</v>
      </c>
      <c r="D18" s="119" t="s">
        <v>60</v>
      </c>
      <c r="E18" s="119">
        <v>130</v>
      </c>
      <c r="F18" s="124">
        <v>195</v>
      </c>
    </row>
    <row r="19" spans="2:6">
      <c r="B19" s="31">
        <v>17</v>
      </c>
      <c r="C19" s="119">
        <v>4.5</v>
      </c>
      <c r="D19" s="119" t="s">
        <v>49</v>
      </c>
      <c r="E19" s="119">
        <v>38</v>
      </c>
      <c r="F19" s="124">
        <v>171</v>
      </c>
    </row>
    <row r="20" spans="2:6">
      <c r="B20" s="31">
        <v>19</v>
      </c>
      <c r="C20" s="119">
        <v>5</v>
      </c>
      <c r="D20" s="119" t="s">
        <v>51</v>
      </c>
      <c r="E20" s="119">
        <v>120</v>
      </c>
      <c r="F20" s="124">
        <v>600</v>
      </c>
    </row>
    <row r="21" spans="2:6">
      <c r="B21" s="122" t="s">
        <v>76</v>
      </c>
      <c r="C21" s="122"/>
      <c r="D21" s="122"/>
      <c r="E21" s="122"/>
      <c r="F21" s="124">
        <v>8951</v>
      </c>
    </row>
    <row r="22" spans="2:6">
      <c r="B22"/>
      <c r="C22"/>
      <c r="E22"/>
      <c r="F22"/>
    </row>
    <row r="23" spans="2:6">
      <c r="B23"/>
      <c r="C23"/>
      <c r="E23"/>
      <c r="F23"/>
    </row>
    <row r="24" spans="2:6">
      <c r="B24"/>
      <c r="C24"/>
      <c r="E24"/>
      <c r="F24"/>
    </row>
    <row r="25" spans="2:6">
      <c r="B25"/>
      <c r="C25"/>
      <c r="E25"/>
      <c r="F25"/>
    </row>
    <row r="26" spans="2:6">
      <c r="B26"/>
      <c r="C26"/>
      <c r="E26"/>
      <c r="F26"/>
    </row>
    <row r="27" spans="2:6">
      <c r="B27"/>
      <c r="C27"/>
      <c r="E27"/>
      <c r="F27"/>
    </row>
    <row r="28" spans="2:6">
      <c r="B28"/>
      <c r="C28"/>
      <c r="E28"/>
      <c r="F28"/>
    </row>
    <row r="29" spans="2:6">
      <c r="B29"/>
      <c r="C29"/>
      <c r="E29"/>
      <c r="F29"/>
    </row>
    <row r="30" spans="2:6">
      <c r="B30"/>
      <c r="C30"/>
      <c r="E30"/>
      <c r="F30"/>
    </row>
    <row r="31" spans="2:6">
      <c r="B31"/>
      <c r="C31"/>
      <c r="E31"/>
      <c r="F31"/>
    </row>
    <row r="32" spans="2:6">
      <c r="B32"/>
      <c r="C32"/>
      <c r="E32"/>
      <c r="F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6" orientation="portrait" horizontalDpi="300" verticalDpi="300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F61"/>
  <sheetViews>
    <sheetView workbookViewId="0">
      <selection activeCell="F21" sqref="A1:F21"/>
    </sheetView>
  </sheetViews>
  <sheetFormatPr baseColWidth="10" defaultRowHeight="15"/>
  <cols>
    <col min="1" max="1" width="1" customWidth="1"/>
    <col min="2" max="2" width="8.42578125" style="52" customWidth="1"/>
    <col min="3" max="3" width="9.42578125" style="52" customWidth="1"/>
    <col min="4" max="4" width="46.140625" customWidth="1"/>
    <col min="5" max="5" width="9.85546875" style="35" bestFit="1" customWidth="1"/>
    <col min="6" max="6" width="9.140625" style="97" bestFit="1" customWidth="1"/>
    <col min="7" max="7" width="20.28515625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44576</v>
      </c>
      <c r="E5" s="147" t="s">
        <v>117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31" t="s">
        <v>104</v>
      </c>
      <c r="E7" s="131"/>
      <c r="F7" s="132"/>
    </row>
    <row r="8" spans="2:6">
      <c r="B8" s="133" t="s">
        <v>83</v>
      </c>
      <c r="C8" s="134"/>
      <c r="D8" s="135"/>
      <c r="E8" s="135"/>
      <c r="F8" s="136"/>
    </row>
    <row r="9" spans="2:6" ht="15.75" thickBot="1">
      <c r="B9" s="137" t="s">
        <v>84</v>
      </c>
      <c r="C9" s="138"/>
      <c r="D9" s="139" t="s">
        <v>85</v>
      </c>
      <c r="E9" s="139"/>
      <c r="F9" s="140"/>
    </row>
    <row r="10" spans="2:6" ht="8.25" customHeight="1">
      <c r="B10" s="99"/>
      <c r="C10" s="98"/>
      <c r="D10" s="100"/>
      <c r="E10" s="100"/>
      <c r="F10" s="100"/>
    </row>
    <row r="11" spans="2:6">
      <c r="B11" s="123" t="s">
        <v>90</v>
      </c>
      <c r="C11" s="122"/>
      <c r="D11" s="122"/>
      <c r="E11" s="122"/>
      <c r="F11" s="124"/>
    </row>
    <row r="12" spans="2:6">
      <c r="B12" s="121" t="s">
        <v>0</v>
      </c>
      <c r="C12" s="120" t="s">
        <v>6</v>
      </c>
      <c r="D12" s="120" t="s">
        <v>1</v>
      </c>
      <c r="E12" s="120" t="s">
        <v>86</v>
      </c>
      <c r="F12" s="119" t="s">
        <v>78</v>
      </c>
    </row>
    <row r="13" spans="2:6">
      <c r="B13" s="31">
        <v>2</v>
      </c>
      <c r="C13" s="119">
        <v>17</v>
      </c>
      <c r="D13" s="119" t="s">
        <v>53</v>
      </c>
      <c r="E13" s="119">
        <v>95</v>
      </c>
      <c r="F13" s="124">
        <v>1615</v>
      </c>
    </row>
    <row r="14" spans="2:6">
      <c r="B14" s="31">
        <v>6</v>
      </c>
      <c r="C14" s="119">
        <v>22</v>
      </c>
      <c r="D14" s="119" t="s">
        <v>55</v>
      </c>
      <c r="E14" s="119">
        <v>150</v>
      </c>
      <c r="F14" s="124">
        <v>3300</v>
      </c>
    </row>
    <row r="15" spans="2:6">
      <c r="B15" s="31">
        <v>11</v>
      </c>
      <c r="C15" s="119">
        <v>11</v>
      </c>
      <c r="D15" s="119" t="s">
        <v>44</v>
      </c>
      <c r="E15" s="119">
        <v>160</v>
      </c>
      <c r="F15" s="124">
        <v>1760</v>
      </c>
    </row>
    <row r="16" spans="2:6">
      <c r="B16" s="31">
        <v>15</v>
      </c>
      <c r="C16" s="119">
        <v>6</v>
      </c>
      <c r="D16" s="119" t="s">
        <v>59</v>
      </c>
      <c r="E16" s="119">
        <v>145</v>
      </c>
      <c r="F16" s="124">
        <v>870</v>
      </c>
    </row>
    <row r="17" spans="2:6">
      <c r="B17" s="31">
        <v>16</v>
      </c>
      <c r="C17" s="119">
        <v>1</v>
      </c>
      <c r="D17" s="119" t="s">
        <v>60</v>
      </c>
      <c r="E17" s="119">
        <v>130</v>
      </c>
      <c r="F17" s="124">
        <v>130</v>
      </c>
    </row>
    <row r="18" spans="2:6">
      <c r="B18" s="31">
        <v>17</v>
      </c>
      <c r="C18" s="119">
        <v>21</v>
      </c>
      <c r="D18" s="119" t="s">
        <v>49</v>
      </c>
      <c r="E18" s="119">
        <v>38</v>
      </c>
      <c r="F18" s="124">
        <v>798</v>
      </c>
    </row>
    <row r="19" spans="2:6">
      <c r="B19" s="31">
        <v>19</v>
      </c>
      <c r="C19" s="119">
        <v>2</v>
      </c>
      <c r="D19" s="119" t="s">
        <v>51</v>
      </c>
      <c r="E19" s="119">
        <v>120</v>
      </c>
      <c r="F19" s="124">
        <v>240</v>
      </c>
    </row>
    <row r="20" spans="2:6">
      <c r="B20" s="31">
        <v>22</v>
      </c>
      <c r="C20" s="119">
        <v>2.5</v>
      </c>
      <c r="D20" s="119" t="s">
        <v>61</v>
      </c>
      <c r="E20" s="119">
        <v>40</v>
      </c>
      <c r="F20" s="124">
        <v>100</v>
      </c>
    </row>
    <row r="21" spans="2:6">
      <c r="B21" s="122" t="s">
        <v>76</v>
      </c>
      <c r="C21" s="122"/>
      <c r="D21" s="122"/>
      <c r="E21" s="122"/>
      <c r="F21" s="124">
        <v>8813</v>
      </c>
    </row>
    <row r="22" spans="2:6">
      <c r="B22"/>
      <c r="C22"/>
      <c r="E22"/>
      <c r="F22"/>
    </row>
    <row r="23" spans="2:6">
      <c r="B23"/>
      <c r="C23"/>
      <c r="E23"/>
      <c r="F23"/>
    </row>
    <row r="24" spans="2:6">
      <c r="B24"/>
      <c r="C24"/>
      <c r="E24"/>
      <c r="F24"/>
    </row>
    <row r="25" spans="2:6">
      <c r="B25"/>
      <c r="C25"/>
      <c r="E25"/>
      <c r="F25"/>
    </row>
    <row r="26" spans="2:6">
      <c r="B26"/>
      <c r="C26"/>
      <c r="E26"/>
      <c r="F26"/>
    </row>
    <row r="27" spans="2:6">
      <c r="B27"/>
      <c r="C27"/>
      <c r="E27"/>
      <c r="F27"/>
    </row>
    <row r="28" spans="2:6">
      <c r="B28"/>
      <c r="C28"/>
      <c r="E28"/>
      <c r="F28"/>
    </row>
    <row r="29" spans="2:6">
      <c r="B29"/>
      <c r="C29"/>
      <c r="E29"/>
      <c r="F29"/>
    </row>
    <row r="30" spans="2:6">
      <c r="B30"/>
      <c r="C30"/>
      <c r="E30"/>
      <c r="F30"/>
    </row>
    <row r="31" spans="2:6">
      <c r="B31"/>
      <c r="C31"/>
      <c r="E31"/>
      <c r="F31"/>
    </row>
    <row r="32" spans="2:6">
      <c r="B32"/>
      <c r="C32"/>
      <c r="E32"/>
      <c r="F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6" orientation="portrait" horizontalDpi="300" verticalDpi="300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F61"/>
  <sheetViews>
    <sheetView workbookViewId="0">
      <selection activeCell="F21" sqref="B1:F21"/>
    </sheetView>
  </sheetViews>
  <sheetFormatPr baseColWidth="10" defaultRowHeight="15"/>
  <cols>
    <col min="1" max="1" width="1" customWidth="1"/>
    <col min="2" max="2" width="8.42578125" style="52" customWidth="1"/>
    <col min="3" max="3" width="9.42578125" style="52" customWidth="1"/>
    <col min="4" max="4" width="46.140625" customWidth="1"/>
    <col min="5" max="5" width="9.85546875" style="35" bestFit="1" customWidth="1"/>
    <col min="6" max="6" width="9.140625" style="97" bestFit="1" customWidth="1"/>
    <col min="7" max="7" width="9.140625" bestFit="1" customWidth="1"/>
    <col min="8" max="8" width="22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44577</v>
      </c>
      <c r="E5" s="147" t="s">
        <v>111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31" t="s">
        <v>104</v>
      </c>
      <c r="E7" s="131"/>
      <c r="F7" s="132"/>
    </row>
    <row r="8" spans="2:6">
      <c r="B8" s="133" t="s">
        <v>83</v>
      </c>
      <c r="C8" s="134"/>
      <c r="D8" s="135"/>
      <c r="E8" s="135"/>
      <c r="F8" s="136"/>
    </row>
    <row r="9" spans="2:6" ht="15.75" thickBot="1">
      <c r="B9" s="137" t="s">
        <v>84</v>
      </c>
      <c r="C9" s="138"/>
      <c r="D9" s="139" t="s">
        <v>85</v>
      </c>
      <c r="E9" s="139"/>
      <c r="F9" s="140"/>
    </row>
    <row r="10" spans="2:6" ht="8.25" customHeight="1">
      <c r="B10" s="99"/>
      <c r="C10" s="98"/>
      <c r="D10" s="100"/>
      <c r="E10" s="100"/>
      <c r="F10" s="100"/>
    </row>
    <row r="11" spans="2:6">
      <c r="B11" s="123" t="s">
        <v>91</v>
      </c>
      <c r="C11" s="122"/>
      <c r="D11" s="122"/>
      <c r="E11" s="122"/>
      <c r="F11" s="124"/>
    </row>
    <row r="12" spans="2:6">
      <c r="B12" s="121" t="s">
        <v>0</v>
      </c>
      <c r="C12" s="120" t="s">
        <v>7</v>
      </c>
      <c r="D12" s="120" t="s">
        <v>1</v>
      </c>
      <c r="E12" s="120" t="s">
        <v>86</v>
      </c>
      <c r="F12" s="119" t="s">
        <v>78</v>
      </c>
    </row>
    <row r="13" spans="2:6">
      <c r="B13" s="31">
        <v>5</v>
      </c>
      <c r="C13" s="119">
        <v>33</v>
      </c>
      <c r="D13" s="119" t="s">
        <v>138</v>
      </c>
      <c r="E13" s="119">
        <v>90</v>
      </c>
      <c r="F13" s="124">
        <v>2970</v>
      </c>
    </row>
    <row r="14" spans="2:6">
      <c r="B14" s="31">
        <v>6</v>
      </c>
      <c r="C14" s="119">
        <v>2.5</v>
      </c>
      <c r="D14" s="119" t="s">
        <v>55</v>
      </c>
      <c r="E14" s="119">
        <v>150</v>
      </c>
      <c r="F14" s="124">
        <v>375</v>
      </c>
    </row>
    <row r="15" spans="2:6">
      <c r="B15" s="31">
        <v>9</v>
      </c>
      <c r="C15" s="119">
        <v>13</v>
      </c>
      <c r="D15" s="119" t="s">
        <v>139</v>
      </c>
      <c r="E15" s="119">
        <v>75</v>
      </c>
      <c r="F15" s="124">
        <v>975</v>
      </c>
    </row>
    <row r="16" spans="2:6">
      <c r="B16" s="31">
        <v>15</v>
      </c>
      <c r="C16" s="119">
        <v>7</v>
      </c>
      <c r="D16" s="119" t="s">
        <v>59</v>
      </c>
      <c r="E16" s="119">
        <v>145</v>
      </c>
      <c r="F16" s="124">
        <v>1015</v>
      </c>
    </row>
    <row r="17" spans="2:6">
      <c r="B17" s="31">
        <v>16</v>
      </c>
      <c r="C17" s="119">
        <v>1</v>
      </c>
      <c r="D17" s="119" t="s">
        <v>60</v>
      </c>
      <c r="E17" s="119">
        <v>130</v>
      </c>
      <c r="F17" s="124">
        <v>130</v>
      </c>
    </row>
    <row r="18" spans="2:6">
      <c r="B18" s="31">
        <v>17</v>
      </c>
      <c r="C18" s="119">
        <v>11</v>
      </c>
      <c r="D18" s="119" t="s">
        <v>49</v>
      </c>
      <c r="E18" s="119">
        <v>38</v>
      </c>
      <c r="F18" s="124">
        <v>418</v>
      </c>
    </row>
    <row r="19" spans="2:6">
      <c r="B19" s="31">
        <v>19</v>
      </c>
      <c r="C19" s="119">
        <v>5</v>
      </c>
      <c r="D19" s="119" t="s">
        <v>51</v>
      </c>
      <c r="E19" s="119">
        <v>120</v>
      </c>
      <c r="F19" s="124">
        <v>600</v>
      </c>
    </row>
    <row r="20" spans="2:6">
      <c r="B20" s="31">
        <v>24</v>
      </c>
      <c r="C20" s="119">
        <v>0.7</v>
      </c>
      <c r="D20" s="119" t="s">
        <v>63</v>
      </c>
      <c r="E20" s="119">
        <v>140</v>
      </c>
      <c r="F20" s="124">
        <v>98</v>
      </c>
    </row>
    <row r="21" spans="2:6">
      <c r="B21" s="122" t="s">
        <v>76</v>
      </c>
      <c r="C21" s="122"/>
      <c r="D21" s="122"/>
      <c r="E21" s="122"/>
      <c r="F21" s="124">
        <v>6581</v>
      </c>
    </row>
    <row r="22" spans="2:6">
      <c r="B22"/>
      <c r="C22"/>
      <c r="E22"/>
      <c r="F22"/>
    </row>
    <row r="23" spans="2:6">
      <c r="B23"/>
      <c r="C23"/>
      <c r="E23"/>
      <c r="F23"/>
    </row>
    <row r="24" spans="2:6">
      <c r="B24"/>
      <c r="C24"/>
      <c r="E24"/>
      <c r="F24"/>
    </row>
    <row r="25" spans="2:6">
      <c r="B25"/>
      <c r="C25"/>
      <c r="E25"/>
      <c r="F25"/>
    </row>
    <row r="26" spans="2:6">
      <c r="B26"/>
      <c r="C26"/>
      <c r="E26"/>
      <c r="F26"/>
    </row>
    <row r="27" spans="2:6">
      <c r="B27"/>
      <c r="C27"/>
      <c r="E27"/>
      <c r="F27"/>
    </row>
    <row r="28" spans="2:6">
      <c r="B28"/>
      <c r="C28"/>
      <c r="E28"/>
      <c r="F28"/>
    </row>
    <row r="29" spans="2:6">
      <c r="B29"/>
      <c r="C29"/>
      <c r="E29"/>
      <c r="F29"/>
    </row>
    <row r="30" spans="2:6">
      <c r="B30"/>
      <c r="C30"/>
      <c r="E30"/>
      <c r="F30"/>
    </row>
    <row r="31" spans="2:6">
      <c r="B31"/>
      <c r="C31"/>
      <c r="E31"/>
      <c r="F31"/>
    </row>
    <row r="32" spans="2:6">
      <c r="B32"/>
      <c r="C32"/>
      <c r="E32"/>
      <c r="F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6" orientation="portrait" horizontalDpi="300" verticalDpi="300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F61"/>
  <sheetViews>
    <sheetView workbookViewId="0">
      <selection activeCell="F18" sqref="B1:F18"/>
    </sheetView>
  </sheetViews>
  <sheetFormatPr baseColWidth="10" defaultRowHeight="15"/>
  <cols>
    <col min="1" max="1" width="1" customWidth="1"/>
    <col min="2" max="2" width="8.42578125" style="52" customWidth="1"/>
    <col min="3" max="3" width="9.42578125" style="52" customWidth="1"/>
    <col min="4" max="4" width="46.140625" customWidth="1"/>
    <col min="5" max="5" width="9.85546875" style="35" bestFit="1" customWidth="1"/>
    <col min="6" max="6" width="9.140625" style="97" bestFit="1" customWidth="1"/>
    <col min="7" max="7" width="9.140625" bestFit="1" customWidth="1"/>
    <col min="8" max="8" width="19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44578</v>
      </c>
      <c r="E5" s="147" t="s">
        <v>114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31" t="s">
        <v>104</v>
      </c>
      <c r="E7" s="131"/>
      <c r="F7" s="132"/>
    </row>
    <row r="8" spans="2:6">
      <c r="B8" s="133" t="s">
        <v>83</v>
      </c>
      <c r="C8" s="134"/>
      <c r="D8" s="135"/>
      <c r="E8" s="135"/>
      <c r="F8" s="136"/>
    </row>
    <row r="9" spans="2:6" ht="15.75" thickBot="1">
      <c r="B9" s="137" t="s">
        <v>84</v>
      </c>
      <c r="C9" s="138"/>
      <c r="D9" s="139" t="s">
        <v>85</v>
      </c>
      <c r="E9" s="139"/>
      <c r="F9" s="140"/>
    </row>
    <row r="10" spans="2:6" ht="8.25" customHeight="1">
      <c r="B10" s="99"/>
      <c r="C10" s="98"/>
      <c r="D10" s="100"/>
      <c r="E10" s="100"/>
      <c r="F10" s="100"/>
    </row>
    <row r="11" spans="2:6">
      <c r="B11" s="123" t="s">
        <v>92</v>
      </c>
      <c r="C11" s="122"/>
      <c r="D11" s="122"/>
      <c r="E11" s="122"/>
      <c r="F11" s="124"/>
    </row>
    <row r="12" spans="2:6">
      <c r="B12" s="121" t="s">
        <v>0</v>
      </c>
      <c r="C12" s="120" t="s">
        <v>8</v>
      </c>
      <c r="D12" s="120" t="s">
        <v>1</v>
      </c>
      <c r="E12" s="120" t="s">
        <v>86</v>
      </c>
      <c r="F12" s="119" t="s">
        <v>78</v>
      </c>
    </row>
    <row r="13" spans="2:6">
      <c r="B13" s="31">
        <v>2</v>
      </c>
      <c r="C13" s="119">
        <v>17</v>
      </c>
      <c r="D13" s="119" t="s">
        <v>53</v>
      </c>
      <c r="E13" s="119">
        <v>95</v>
      </c>
      <c r="F13" s="124">
        <v>1615</v>
      </c>
    </row>
    <row r="14" spans="2:6">
      <c r="B14" s="31">
        <v>6</v>
      </c>
      <c r="C14" s="119">
        <v>28</v>
      </c>
      <c r="D14" s="119" t="s">
        <v>55</v>
      </c>
      <c r="E14" s="119">
        <v>150</v>
      </c>
      <c r="F14" s="124">
        <v>4200</v>
      </c>
    </row>
    <row r="15" spans="2:6">
      <c r="B15" s="31">
        <v>16</v>
      </c>
      <c r="C15" s="119">
        <v>10</v>
      </c>
      <c r="D15" s="119" t="s">
        <v>60</v>
      </c>
      <c r="E15" s="119">
        <v>130</v>
      </c>
      <c r="F15" s="124">
        <v>1300</v>
      </c>
    </row>
    <row r="16" spans="2:6">
      <c r="B16" s="31">
        <v>17</v>
      </c>
      <c r="C16" s="119">
        <v>4</v>
      </c>
      <c r="D16" s="119" t="s">
        <v>49</v>
      </c>
      <c r="E16" s="119">
        <v>38</v>
      </c>
      <c r="F16" s="124">
        <v>152</v>
      </c>
    </row>
    <row r="17" spans="2:6">
      <c r="B17" s="31">
        <v>19</v>
      </c>
      <c r="C17" s="119">
        <v>9</v>
      </c>
      <c r="D17" s="119" t="s">
        <v>51</v>
      </c>
      <c r="E17" s="119">
        <v>120</v>
      </c>
      <c r="F17" s="124">
        <v>1080</v>
      </c>
    </row>
    <row r="18" spans="2:6">
      <c r="B18" s="122" t="s">
        <v>76</v>
      </c>
      <c r="C18" s="122"/>
      <c r="D18" s="122"/>
      <c r="E18" s="122"/>
      <c r="F18" s="124">
        <v>8347</v>
      </c>
    </row>
    <row r="19" spans="2:6">
      <c r="B19"/>
      <c r="C19"/>
      <c r="E19"/>
      <c r="F19"/>
    </row>
    <row r="20" spans="2:6">
      <c r="B20"/>
      <c r="C20"/>
      <c r="E20"/>
      <c r="F20"/>
    </row>
    <row r="21" spans="2:6">
      <c r="B21"/>
      <c r="C21"/>
      <c r="E21"/>
      <c r="F21"/>
    </row>
    <row r="22" spans="2:6">
      <c r="B22"/>
      <c r="C22"/>
      <c r="E22"/>
      <c r="F22"/>
    </row>
    <row r="23" spans="2:6">
      <c r="B23"/>
      <c r="C23"/>
      <c r="E23"/>
      <c r="F23"/>
    </row>
    <row r="24" spans="2:6">
      <c r="B24"/>
      <c r="C24"/>
      <c r="E24"/>
      <c r="F24"/>
    </row>
    <row r="25" spans="2:6">
      <c r="B25"/>
      <c r="C25"/>
      <c r="E25"/>
      <c r="F25"/>
    </row>
    <row r="26" spans="2:6">
      <c r="B26"/>
      <c r="C26"/>
      <c r="E26"/>
      <c r="F26"/>
    </row>
    <row r="27" spans="2:6">
      <c r="B27"/>
      <c r="C27"/>
      <c r="E27"/>
      <c r="F27"/>
    </row>
    <row r="28" spans="2:6">
      <c r="B28"/>
      <c r="C28"/>
      <c r="E28"/>
      <c r="F28"/>
    </row>
    <row r="29" spans="2:6">
      <c r="B29"/>
      <c r="C29"/>
      <c r="E29"/>
      <c r="F29"/>
    </row>
    <row r="30" spans="2:6">
      <c r="B30"/>
      <c r="C30"/>
      <c r="E30"/>
      <c r="F30"/>
    </row>
    <row r="31" spans="2:6">
      <c r="B31"/>
      <c r="C31"/>
      <c r="E31"/>
      <c r="F31"/>
    </row>
    <row r="32" spans="2:6">
      <c r="B32"/>
      <c r="C32"/>
      <c r="E32"/>
      <c r="F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6" orientation="portrait" horizontalDpi="300" verticalDpi="300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F38"/>
  <sheetViews>
    <sheetView workbookViewId="0">
      <selection activeCell="F24" sqref="A1:F24"/>
    </sheetView>
  </sheetViews>
  <sheetFormatPr baseColWidth="10" defaultRowHeight="15"/>
  <cols>
    <col min="1" max="1" width="1" customWidth="1"/>
    <col min="2" max="2" width="8.42578125" style="52" customWidth="1"/>
    <col min="3" max="3" width="9.42578125" style="52" customWidth="1"/>
    <col min="4" max="4" width="46.140625" customWidth="1"/>
    <col min="5" max="5" width="9.85546875" style="35" bestFit="1" customWidth="1"/>
    <col min="6" max="6" width="9.140625" style="97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44572</v>
      </c>
      <c r="E5" s="147" t="s">
        <v>132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31" t="s">
        <v>105</v>
      </c>
      <c r="E7" s="131"/>
      <c r="F7" s="132"/>
    </row>
    <row r="8" spans="2:6">
      <c r="B8" s="133" t="s">
        <v>83</v>
      </c>
      <c r="C8" s="134"/>
      <c r="D8" s="135"/>
      <c r="E8" s="135"/>
      <c r="F8" s="136"/>
    </row>
    <row r="9" spans="2:6" ht="15.75" thickBot="1">
      <c r="B9" s="137" t="s">
        <v>84</v>
      </c>
      <c r="C9" s="138"/>
      <c r="D9" s="139" t="s">
        <v>85</v>
      </c>
      <c r="E9" s="139"/>
      <c r="F9" s="140"/>
    </row>
    <row r="10" spans="2:6" ht="8.25" customHeight="1">
      <c r="B10" s="99"/>
      <c r="C10" s="98"/>
      <c r="D10" s="100"/>
      <c r="E10" s="100"/>
      <c r="F10" s="100"/>
    </row>
    <row r="11" spans="2:6">
      <c r="B11" s="123" t="s">
        <v>77</v>
      </c>
      <c r="C11" s="122"/>
      <c r="D11" s="122"/>
      <c r="E11" s="122"/>
      <c r="F11" s="124"/>
    </row>
    <row r="12" spans="2:6">
      <c r="B12" s="121" t="s">
        <v>0</v>
      </c>
      <c r="C12" s="120" t="s">
        <v>2</v>
      </c>
      <c r="D12" s="120" t="s">
        <v>1</v>
      </c>
      <c r="E12" s="120" t="s">
        <v>86</v>
      </c>
      <c r="F12" s="119" t="s">
        <v>78</v>
      </c>
    </row>
    <row r="13" spans="2:6">
      <c r="B13" s="31">
        <v>6</v>
      </c>
      <c r="C13" s="119">
        <v>8.15</v>
      </c>
      <c r="D13" s="119" t="s">
        <v>55</v>
      </c>
      <c r="E13" s="119">
        <v>150</v>
      </c>
      <c r="F13" s="124">
        <v>1222.5</v>
      </c>
    </row>
    <row r="14" spans="2:6">
      <c r="B14" s="31">
        <v>7</v>
      </c>
      <c r="C14" s="119">
        <v>1.35</v>
      </c>
      <c r="D14" s="119" t="s">
        <v>74</v>
      </c>
      <c r="E14" s="119">
        <v>150</v>
      </c>
      <c r="F14" s="124">
        <v>202.5</v>
      </c>
    </row>
    <row r="15" spans="2:6">
      <c r="B15" s="31">
        <v>9</v>
      </c>
      <c r="C15" s="119">
        <v>12.45</v>
      </c>
      <c r="D15" s="119" t="s">
        <v>139</v>
      </c>
      <c r="E15" s="119">
        <v>75</v>
      </c>
      <c r="F15" s="124">
        <v>933.75</v>
      </c>
    </row>
    <row r="16" spans="2:6">
      <c r="B16" s="31">
        <v>15</v>
      </c>
      <c r="C16" s="119">
        <v>9</v>
      </c>
      <c r="D16" s="119" t="s">
        <v>59</v>
      </c>
      <c r="E16" s="119">
        <v>145</v>
      </c>
      <c r="F16" s="124">
        <v>1305</v>
      </c>
    </row>
    <row r="17" spans="2:6">
      <c r="B17" s="31">
        <v>16</v>
      </c>
      <c r="C17" s="119">
        <v>5.85</v>
      </c>
      <c r="D17" s="119" t="s">
        <v>60</v>
      </c>
      <c r="E17" s="119">
        <v>130</v>
      </c>
      <c r="F17" s="124">
        <v>760.5</v>
      </c>
    </row>
    <row r="18" spans="2:6">
      <c r="B18" s="31">
        <v>17</v>
      </c>
      <c r="C18" s="119">
        <v>14</v>
      </c>
      <c r="D18" s="119" t="s">
        <v>49</v>
      </c>
      <c r="E18" s="119">
        <v>38</v>
      </c>
      <c r="F18" s="124">
        <v>532</v>
      </c>
    </row>
    <row r="19" spans="2:6">
      <c r="B19" s="31">
        <v>18</v>
      </c>
      <c r="C19" s="119">
        <v>3.6</v>
      </c>
      <c r="D19" s="119" t="s">
        <v>50</v>
      </c>
      <c r="E19" s="119">
        <v>180</v>
      </c>
      <c r="F19" s="124">
        <v>648</v>
      </c>
    </row>
    <row r="20" spans="2:6">
      <c r="B20" s="31">
        <v>19</v>
      </c>
      <c r="C20" s="119">
        <v>0.9</v>
      </c>
      <c r="D20" s="119" t="s">
        <v>51</v>
      </c>
      <c r="E20" s="119">
        <v>120</v>
      </c>
      <c r="F20" s="124">
        <v>108</v>
      </c>
    </row>
    <row r="21" spans="2:6">
      <c r="B21" s="31">
        <v>20</v>
      </c>
      <c r="C21" s="119">
        <v>0.9</v>
      </c>
      <c r="D21" s="119" t="s">
        <v>52</v>
      </c>
      <c r="E21" s="119">
        <v>140</v>
      </c>
      <c r="F21" s="124">
        <v>126</v>
      </c>
    </row>
    <row r="22" spans="2:6">
      <c r="B22" s="31">
        <v>23</v>
      </c>
      <c r="C22" s="119">
        <v>0.9</v>
      </c>
      <c r="D22" s="119" t="s">
        <v>62</v>
      </c>
      <c r="E22" s="119">
        <v>50</v>
      </c>
      <c r="F22" s="124">
        <v>45</v>
      </c>
    </row>
    <row r="23" spans="2:6">
      <c r="B23" s="31">
        <v>24</v>
      </c>
      <c r="C23" s="119">
        <v>0.4</v>
      </c>
      <c r="D23" s="119" t="s">
        <v>63</v>
      </c>
      <c r="E23" s="119">
        <v>140</v>
      </c>
      <c r="F23" s="124">
        <v>56</v>
      </c>
    </row>
    <row r="24" spans="2:6">
      <c r="B24" s="122" t="s">
        <v>76</v>
      </c>
      <c r="C24" s="122"/>
      <c r="D24" s="122"/>
      <c r="E24" s="122"/>
      <c r="F24" s="124">
        <v>5939.25</v>
      </c>
    </row>
    <row r="25" spans="2:6">
      <c r="B25"/>
      <c r="C25"/>
      <c r="E25"/>
      <c r="F25"/>
    </row>
    <row r="26" spans="2:6">
      <c r="B26"/>
      <c r="C26"/>
      <c r="E26"/>
      <c r="F26"/>
    </row>
    <row r="27" spans="2:6">
      <c r="B27"/>
      <c r="C27"/>
      <c r="E27"/>
      <c r="F27"/>
    </row>
    <row r="28" spans="2:6">
      <c r="B28"/>
      <c r="C28"/>
      <c r="E28"/>
      <c r="F28"/>
    </row>
    <row r="29" spans="2:6">
      <c r="B29"/>
      <c r="C29"/>
      <c r="E29"/>
      <c r="F29"/>
    </row>
    <row r="30" spans="2:6">
      <c r="B30"/>
      <c r="C30"/>
      <c r="E30"/>
      <c r="F30"/>
    </row>
    <row r="31" spans="2:6">
      <c r="B31"/>
      <c r="C31"/>
      <c r="E31"/>
      <c r="F31"/>
    </row>
    <row r="32" spans="2:6">
      <c r="B32"/>
      <c r="C32"/>
      <c r="E32"/>
      <c r="F32"/>
    </row>
    <row r="33" spans="2:6" customFormat="1"/>
    <row r="34" spans="2:6" customFormat="1"/>
    <row r="35" spans="2:6" customFormat="1"/>
    <row r="36" spans="2:6" customFormat="1"/>
    <row r="37" spans="2:6" customFormat="1"/>
    <row r="38" spans="2:6">
      <c r="B38"/>
      <c r="E38" s="52"/>
      <c r="F38"/>
    </row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6" orientation="portrait" horizontalDpi="300" verticalDpi="300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F61"/>
  <sheetViews>
    <sheetView workbookViewId="0">
      <selection activeCell="F20" sqref="A1:F20"/>
    </sheetView>
  </sheetViews>
  <sheetFormatPr baseColWidth="10" defaultRowHeight="15"/>
  <cols>
    <col min="1" max="1" width="1" customWidth="1"/>
    <col min="2" max="2" width="8.42578125" style="52" customWidth="1"/>
    <col min="3" max="3" width="9.42578125" style="52" customWidth="1"/>
    <col min="4" max="4" width="46.140625" customWidth="1"/>
    <col min="5" max="5" width="9.85546875" style="35" bestFit="1" customWidth="1"/>
    <col min="6" max="6" width="9.140625" style="97" bestFit="1" customWidth="1"/>
    <col min="7" max="7" width="22.85546875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44573</v>
      </c>
      <c r="E5" s="147" t="s">
        <v>122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31" t="s">
        <v>105</v>
      </c>
      <c r="E7" s="131"/>
      <c r="F7" s="132"/>
    </row>
    <row r="8" spans="2:6">
      <c r="B8" s="133" t="s">
        <v>83</v>
      </c>
      <c r="C8" s="134"/>
      <c r="D8" s="135"/>
      <c r="E8" s="135"/>
      <c r="F8" s="136"/>
    </row>
    <row r="9" spans="2:6" ht="15.75" thickBot="1">
      <c r="B9" s="137" t="s">
        <v>84</v>
      </c>
      <c r="C9" s="138"/>
      <c r="D9" s="139" t="s">
        <v>85</v>
      </c>
      <c r="E9" s="139"/>
      <c r="F9" s="140"/>
    </row>
    <row r="10" spans="2:6" ht="8.25" customHeight="1">
      <c r="B10" s="99"/>
      <c r="C10" s="98"/>
      <c r="D10" s="100"/>
      <c r="E10" s="100"/>
      <c r="F10" s="100"/>
    </row>
    <row r="11" spans="2:6">
      <c r="B11" s="123" t="s">
        <v>87</v>
      </c>
      <c r="C11" s="122"/>
      <c r="D11" s="122"/>
      <c r="E11" s="122"/>
      <c r="F11" s="124"/>
    </row>
    <row r="12" spans="2:6">
      <c r="B12" s="121" t="s">
        <v>0</v>
      </c>
      <c r="C12" s="120" t="s">
        <v>3</v>
      </c>
      <c r="D12" s="120" t="s">
        <v>1</v>
      </c>
      <c r="E12" s="120" t="s">
        <v>86</v>
      </c>
      <c r="F12" s="119" t="s">
        <v>78</v>
      </c>
    </row>
    <row r="13" spans="2:6">
      <c r="B13" s="31">
        <v>6</v>
      </c>
      <c r="C13" s="119">
        <v>17.5</v>
      </c>
      <c r="D13" s="119" t="s">
        <v>55</v>
      </c>
      <c r="E13" s="119">
        <v>150</v>
      </c>
      <c r="F13" s="124">
        <v>2625</v>
      </c>
    </row>
    <row r="14" spans="2:6">
      <c r="B14" s="31">
        <v>7</v>
      </c>
      <c r="C14" s="119">
        <v>2.7</v>
      </c>
      <c r="D14" s="119" t="s">
        <v>74</v>
      </c>
      <c r="E14" s="119">
        <v>150</v>
      </c>
      <c r="F14" s="124">
        <v>405</v>
      </c>
    </row>
    <row r="15" spans="2:6">
      <c r="B15" s="31">
        <v>9</v>
      </c>
      <c r="C15" s="119">
        <v>15.75</v>
      </c>
      <c r="D15" s="119" t="s">
        <v>139</v>
      </c>
      <c r="E15" s="119">
        <v>75</v>
      </c>
      <c r="F15" s="124">
        <v>1181.25</v>
      </c>
    </row>
    <row r="16" spans="2:6">
      <c r="B16" s="31">
        <v>11</v>
      </c>
      <c r="C16" s="119">
        <v>9.6</v>
      </c>
      <c r="D16" s="119" t="s">
        <v>44</v>
      </c>
      <c r="E16" s="119">
        <v>160</v>
      </c>
      <c r="F16" s="124">
        <v>1536</v>
      </c>
    </row>
    <row r="17" spans="2:6">
      <c r="B17" s="31">
        <v>16</v>
      </c>
      <c r="C17" s="119">
        <v>0.97</v>
      </c>
      <c r="D17" s="119" t="s">
        <v>60</v>
      </c>
      <c r="E17" s="119">
        <v>130</v>
      </c>
      <c r="F17" s="124">
        <v>126.1</v>
      </c>
    </row>
    <row r="18" spans="2:6">
      <c r="B18" s="31">
        <v>17</v>
      </c>
      <c r="C18" s="119">
        <v>1</v>
      </c>
      <c r="D18" s="119" t="s">
        <v>49</v>
      </c>
      <c r="E18" s="119">
        <v>38</v>
      </c>
      <c r="F18" s="124">
        <v>38</v>
      </c>
    </row>
    <row r="19" spans="2:6">
      <c r="B19" s="31">
        <v>18</v>
      </c>
      <c r="C19" s="119">
        <v>3.9</v>
      </c>
      <c r="D19" s="119" t="s">
        <v>50</v>
      </c>
      <c r="E19" s="119">
        <v>180</v>
      </c>
      <c r="F19" s="124">
        <v>702</v>
      </c>
    </row>
    <row r="20" spans="2:6">
      <c r="B20" s="122" t="s">
        <v>76</v>
      </c>
      <c r="C20" s="122"/>
      <c r="D20" s="122"/>
      <c r="E20" s="122"/>
      <c r="F20" s="124">
        <v>6613.35</v>
      </c>
    </row>
    <row r="21" spans="2:6">
      <c r="B21"/>
      <c r="C21"/>
      <c r="E21"/>
      <c r="F21"/>
    </row>
    <row r="22" spans="2:6">
      <c r="B22"/>
      <c r="C22"/>
      <c r="E22"/>
      <c r="F22"/>
    </row>
    <row r="23" spans="2:6">
      <c r="B23"/>
      <c r="C23"/>
      <c r="E23"/>
      <c r="F23"/>
    </row>
    <row r="24" spans="2:6">
      <c r="B24"/>
      <c r="C24"/>
      <c r="E24"/>
      <c r="F24"/>
    </row>
    <row r="25" spans="2:6">
      <c r="B25"/>
      <c r="C25"/>
      <c r="E25"/>
      <c r="F25"/>
    </row>
    <row r="26" spans="2:6">
      <c r="B26"/>
      <c r="C26"/>
      <c r="E26"/>
      <c r="F26"/>
    </row>
    <row r="27" spans="2:6">
      <c r="B27"/>
      <c r="C27"/>
      <c r="E27"/>
      <c r="F27"/>
    </row>
    <row r="28" spans="2:6">
      <c r="B28"/>
      <c r="C28"/>
      <c r="E28"/>
      <c r="F28"/>
    </row>
    <row r="29" spans="2:6">
      <c r="B29"/>
      <c r="C29"/>
      <c r="E29"/>
      <c r="F29"/>
    </row>
    <row r="30" spans="2:6">
      <c r="B30"/>
      <c r="C30"/>
      <c r="E30"/>
      <c r="F30"/>
    </row>
    <row r="31" spans="2:6">
      <c r="B31"/>
      <c r="C31"/>
      <c r="E31"/>
      <c r="F31"/>
    </row>
    <row r="32" spans="2:6">
      <c r="B32"/>
      <c r="C32"/>
      <c r="E32"/>
      <c r="F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6" orientation="portrait" horizontalDpi="300" verticalDpi="300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F61"/>
  <sheetViews>
    <sheetView workbookViewId="0">
      <selection activeCell="F23" sqref="A1:F23"/>
    </sheetView>
  </sheetViews>
  <sheetFormatPr baseColWidth="10" defaultRowHeight="15"/>
  <cols>
    <col min="1" max="1" width="1" customWidth="1"/>
    <col min="2" max="2" width="8.42578125" style="52" customWidth="1"/>
    <col min="3" max="3" width="9.42578125" style="52" customWidth="1"/>
    <col min="4" max="4" width="46.140625" customWidth="1"/>
    <col min="5" max="5" width="9.85546875" style="35" bestFit="1" customWidth="1"/>
    <col min="6" max="6" width="9.140625" style="97" bestFit="1" customWidth="1"/>
    <col min="7" max="7" width="9.140625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44574</v>
      </c>
      <c r="E5" s="147" t="s">
        <v>125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53" t="s">
        <v>105</v>
      </c>
      <c r="E7" s="153"/>
      <c r="F7" s="154"/>
    </row>
    <row r="8" spans="2:6">
      <c r="B8" s="133" t="s">
        <v>83</v>
      </c>
      <c r="C8" s="134"/>
      <c r="D8" s="135"/>
      <c r="E8" s="135"/>
      <c r="F8" s="136"/>
    </row>
    <row r="9" spans="2:6" ht="15.75" thickBot="1">
      <c r="B9" s="137" t="s">
        <v>84</v>
      </c>
      <c r="C9" s="138"/>
      <c r="D9" s="139" t="s">
        <v>85</v>
      </c>
      <c r="E9" s="139"/>
      <c r="F9" s="140"/>
    </row>
    <row r="10" spans="2:6" ht="8.25" customHeight="1">
      <c r="B10" s="99"/>
      <c r="C10" s="98"/>
      <c r="D10" s="100"/>
      <c r="E10" s="100"/>
      <c r="F10" s="100"/>
    </row>
    <row r="11" spans="2:6">
      <c r="B11" s="123" t="s">
        <v>88</v>
      </c>
      <c r="C11" s="122"/>
      <c r="D11" s="122"/>
      <c r="E11" s="122"/>
      <c r="F11" s="124"/>
    </row>
    <row r="12" spans="2:6">
      <c r="B12" s="121" t="s">
        <v>0</v>
      </c>
      <c r="C12" s="120" t="s">
        <v>4</v>
      </c>
      <c r="D12" s="120" t="s">
        <v>1</v>
      </c>
      <c r="E12" s="120" t="s">
        <v>86</v>
      </c>
      <c r="F12" s="119" t="s">
        <v>78</v>
      </c>
    </row>
    <row r="13" spans="2:6">
      <c r="B13" s="31">
        <v>3</v>
      </c>
      <c r="C13" s="119">
        <v>9</v>
      </c>
      <c r="D13" s="119" t="s">
        <v>56</v>
      </c>
      <c r="E13" s="119">
        <v>82</v>
      </c>
      <c r="F13" s="124">
        <v>738</v>
      </c>
    </row>
    <row r="14" spans="2:6">
      <c r="B14" s="31">
        <v>6</v>
      </c>
      <c r="C14" s="119">
        <v>1.1000000000000001</v>
      </c>
      <c r="D14" s="119" t="s">
        <v>55</v>
      </c>
      <c r="E14" s="119">
        <v>150</v>
      </c>
      <c r="F14" s="124">
        <v>165</v>
      </c>
    </row>
    <row r="15" spans="2:6">
      <c r="B15" s="31">
        <v>7</v>
      </c>
      <c r="C15" s="119">
        <v>9.27</v>
      </c>
      <c r="D15" s="119" t="s">
        <v>74</v>
      </c>
      <c r="E15" s="119">
        <v>150</v>
      </c>
      <c r="F15" s="124">
        <v>1390.5</v>
      </c>
    </row>
    <row r="16" spans="2:6">
      <c r="B16" s="31">
        <v>11</v>
      </c>
      <c r="C16" s="119">
        <v>6</v>
      </c>
      <c r="D16" s="119" t="s">
        <v>44</v>
      </c>
      <c r="E16" s="119">
        <v>160</v>
      </c>
      <c r="F16" s="124">
        <v>960</v>
      </c>
    </row>
    <row r="17" spans="2:6">
      <c r="B17" s="31">
        <v>16</v>
      </c>
      <c r="C17" s="119">
        <v>7.5</v>
      </c>
      <c r="D17" s="119" t="s">
        <v>60</v>
      </c>
      <c r="E17" s="119">
        <v>130</v>
      </c>
      <c r="F17" s="124">
        <v>975</v>
      </c>
    </row>
    <row r="18" spans="2:6">
      <c r="B18" s="31">
        <v>17</v>
      </c>
      <c r="C18" s="119">
        <v>17</v>
      </c>
      <c r="D18" s="119" t="s">
        <v>49</v>
      </c>
      <c r="E18" s="119">
        <v>38</v>
      </c>
      <c r="F18" s="124">
        <v>646</v>
      </c>
    </row>
    <row r="19" spans="2:6">
      <c r="B19" s="31">
        <v>19</v>
      </c>
      <c r="C19" s="119">
        <v>0.21</v>
      </c>
      <c r="D19" s="119" t="s">
        <v>51</v>
      </c>
      <c r="E19" s="119">
        <v>120</v>
      </c>
      <c r="F19" s="124">
        <v>25.2</v>
      </c>
    </row>
    <row r="20" spans="2:6">
      <c r="B20" s="31">
        <v>22</v>
      </c>
      <c r="C20" s="119">
        <v>1.8</v>
      </c>
      <c r="D20" s="119" t="s">
        <v>61</v>
      </c>
      <c r="E20" s="119">
        <v>40</v>
      </c>
      <c r="F20" s="124">
        <v>72</v>
      </c>
    </row>
    <row r="21" spans="2:6">
      <c r="B21" s="31">
        <v>23</v>
      </c>
      <c r="C21" s="119">
        <v>4.2</v>
      </c>
      <c r="D21" s="119" t="s">
        <v>62</v>
      </c>
      <c r="E21" s="119">
        <v>50</v>
      </c>
      <c r="F21" s="124">
        <v>210</v>
      </c>
    </row>
    <row r="22" spans="2:6">
      <c r="B22" s="31">
        <v>24</v>
      </c>
      <c r="C22" s="119">
        <v>0.6</v>
      </c>
      <c r="D22" s="119" t="s">
        <v>63</v>
      </c>
      <c r="E22" s="119">
        <v>140</v>
      </c>
      <c r="F22" s="124">
        <v>84</v>
      </c>
    </row>
    <row r="23" spans="2:6">
      <c r="B23" s="122" t="s">
        <v>76</v>
      </c>
      <c r="C23" s="122"/>
      <c r="D23" s="122"/>
      <c r="E23" s="122"/>
      <c r="F23" s="124">
        <v>5265.7</v>
      </c>
    </row>
    <row r="24" spans="2:6">
      <c r="B24"/>
      <c r="C24"/>
      <c r="E24"/>
      <c r="F24"/>
    </row>
    <row r="25" spans="2:6">
      <c r="B25"/>
      <c r="C25"/>
      <c r="E25"/>
      <c r="F25"/>
    </row>
    <row r="26" spans="2:6">
      <c r="B26"/>
      <c r="C26"/>
      <c r="E26"/>
      <c r="F26"/>
    </row>
    <row r="27" spans="2:6">
      <c r="B27"/>
      <c r="C27"/>
      <c r="E27"/>
      <c r="F27"/>
    </row>
    <row r="28" spans="2:6">
      <c r="B28"/>
      <c r="C28"/>
      <c r="E28"/>
      <c r="F28"/>
    </row>
    <row r="29" spans="2:6">
      <c r="B29"/>
      <c r="C29"/>
      <c r="E29"/>
      <c r="F29"/>
    </row>
    <row r="30" spans="2:6">
      <c r="B30"/>
      <c r="C30"/>
      <c r="E30"/>
      <c r="F30"/>
    </row>
    <row r="31" spans="2:6">
      <c r="B31"/>
      <c r="C31"/>
      <c r="E31"/>
      <c r="F31"/>
    </row>
    <row r="32" spans="2:6">
      <c r="B32"/>
      <c r="C32"/>
      <c r="E32"/>
      <c r="F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6" orientation="portrait" horizontalDpi="300" verticalDpi="300" r:id="rId2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F61"/>
  <sheetViews>
    <sheetView workbookViewId="0">
      <selection activeCell="F21" sqref="A1:F21"/>
    </sheetView>
  </sheetViews>
  <sheetFormatPr baseColWidth="10" defaultRowHeight="15"/>
  <cols>
    <col min="1" max="1" width="1" customWidth="1"/>
    <col min="2" max="2" width="8.42578125" style="52" customWidth="1"/>
    <col min="3" max="3" width="9.42578125" style="52" customWidth="1"/>
    <col min="4" max="4" width="46.140625" customWidth="1"/>
    <col min="5" max="5" width="9.85546875" style="35" bestFit="1" customWidth="1"/>
    <col min="6" max="6" width="9.140625" style="97" bestFit="1" customWidth="1"/>
    <col min="7" max="7" width="20.7109375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44575</v>
      </c>
      <c r="E5" s="147" t="s">
        <v>135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31" t="s">
        <v>105</v>
      </c>
      <c r="E7" s="131"/>
      <c r="F7" s="132"/>
    </row>
    <row r="8" spans="2:6">
      <c r="B8" s="133" t="s">
        <v>83</v>
      </c>
      <c r="C8" s="134"/>
      <c r="D8" s="135"/>
      <c r="E8" s="135"/>
      <c r="F8" s="136"/>
    </row>
    <row r="9" spans="2:6" ht="15.75" thickBot="1">
      <c r="B9" s="137" t="s">
        <v>84</v>
      </c>
      <c r="C9" s="138"/>
      <c r="D9" s="139" t="s">
        <v>85</v>
      </c>
      <c r="E9" s="139"/>
      <c r="F9" s="140"/>
    </row>
    <row r="10" spans="2:6" ht="8.25" customHeight="1">
      <c r="B10" s="99"/>
      <c r="C10" s="98"/>
      <c r="D10" s="100"/>
      <c r="E10" s="100"/>
      <c r="F10" s="100"/>
    </row>
    <row r="11" spans="2:6">
      <c r="B11" s="123" t="s">
        <v>89</v>
      </c>
      <c r="C11" s="122"/>
      <c r="D11" s="122"/>
      <c r="E11" s="122"/>
      <c r="F11" s="124"/>
    </row>
    <row r="12" spans="2:6">
      <c r="B12" s="121" t="s">
        <v>0</v>
      </c>
      <c r="C12" s="120" t="s">
        <v>5</v>
      </c>
      <c r="D12" s="120" t="s">
        <v>1</v>
      </c>
      <c r="E12" s="120" t="s">
        <v>86</v>
      </c>
      <c r="F12" s="119" t="s">
        <v>78</v>
      </c>
    </row>
    <row r="13" spans="2:6">
      <c r="B13" s="31">
        <v>2</v>
      </c>
      <c r="C13" s="119">
        <v>7.2</v>
      </c>
      <c r="D13" s="119" t="s">
        <v>53</v>
      </c>
      <c r="E13" s="119">
        <v>95</v>
      </c>
      <c r="F13" s="124">
        <v>684</v>
      </c>
    </row>
    <row r="14" spans="2:6">
      <c r="B14" s="31">
        <v>6</v>
      </c>
      <c r="C14" s="119">
        <v>12.3</v>
      </c>
      <c r="D14" s="119" t="s">
        <v>55</v>
      </c>
      <c r="E14" s="119">
        <v>150</v>
      </c>
      <c r="F14" s="124">
        <v>1845</v>
      </c>
    </row>
    <row r="15" spans="2:6">
      <c r="B15" s="31">
        <v>7</v>
      </c>
      <c r="C15" s="119">
        <v>1.35</v>
      </c>
      <c r="D15" s="119" t="s">
        <v>74</v>
      </c>
      <c r="E15" s="119">
        <v>150</v>
      </c>
      <c r="F15" s="124">
        <v>202.5</v>
      </c>
    </row>
    <row r="16" spans="2:6">
      <c r="B16" s="31">
        <v>9</v>
      </c>
      <c r="C16" s="119">
        <v>9.75</v>
      </c>
      <c r="D16" s="119" t="s">
        <v>139</v>
      </c>
      <c r="E16" s="119">
        <v>75</v>
      </c>
      <c r="F16" s="124">
        <v>731.25</v>
      </c>
    </row>
    <row r="17" spans="2:6">
      <c r="B17" s="31">
        <v>11</v>
      </c>
      <c r="C17" s="119">
        <v>14.7</v>
      </c>
      <c r="D17" s="119" t="s">
        <v>44</v>
      </c>
      <c r="E17" s="119">
        <v>160</v>
      </c>
      <c r="F17" s="124">
        <v>2352</v>
      </c>
    </row>
    <row r="18" spans="2:6">
      <c r="B18" s="31">
        <v>16</v>
      </c>
      <c r="C18" s="119">
        <v>1.4</v>
      </c>
      <c r="D18" s="119" t="s">
        <v>60</v>
      </c>
      <c r="E18" s="119">
        <v>130</v>
      </c>
      <c r="F18" s="124">
        <v>182</v>
      </c>
    </row>
    <row r="19" spans="2:6">
      <c r="B19" s="31">
        <v>17</v>
      </c>
      <c r="C19" s="119">
        <v>5</v>
      </c>
      <c r="D19" s="119" t="s">
        <v>49</v>
      </c>
      <c r="E19" s="119">
        <v>38</v>
      </c>
      <c r="F19" s="124">
        <v>190</v>
      </c>
    </row>
    <row r="20" spans="2:6">
      <c r="B20" s="31">
        <v>19</v>
      </c>
      <c r="C20" s="119">
        <v>3.6</v>
      </c>
      <c r="D20" s="119" t="s">
        <v>51</v>
      </c>
      <c r="E20" s="119">
        <v>120</v>
      </c>
      <c r="F20" s="124">
        <v>432</v>
      </c>
    </row>
    <row r="21" spans="2:6">
      <c r="B21" s="122" t="s">
        <v>76</v>
      </c>
      <c r="C21" s="122"/>
      <c r="D21" s="122"/>
      <c r="E21" s="122"/>
      <c r="F21" s="124">
        <v>6618.75</v>
      </c>
    </row>
    <row r="22" spans="2:6">
      <c r="B22"/>
      <c r="C22"/>
      <c r="E22"/>
      <c r="F22"/>
    </row>
    <row r="23" spans="2:6">
      <c r="B23"/>
      <c r="C23"/>
      <c r="E23"/>
      <c r="F23"/>
    </row>
    <row r="24" spans="2:6">
      <c r="B24"/>
      <c r="C24"/>
      <c r="E24"/>
      <c r="F24"/>
    </row>
    <row r="25" spans="2:6">
      <c r="B25"/>
      <c r="C25"/>
      <c r="E25"/>
      <c r="F25"/>
    </row>
    <row r="26" spans="2:6">
      <c r="B26"/>
      <c r="C26"/>
      <c r="E26"/>
      <c r="F26"/>
    </row>
    <row r="27" spans="2:6">
      <c r="B27"/>
      <c r="C27"/>
      <c r="E27"/>
      <c r="F27"/>
    </row>
    <row r="28" spans="2:6">
      <c r="B28"/>
      <c r="C28"/>
      <c r="E28"/>
      <c r="F28"/>
    </row>
    <row r="29" spans="2:6">
      <c r="B29"/>
      <c r="C29"/>
      <c r="E29"/>
      <c r="F29"/>
    </row>
    <row r="30" spans="2:6">
      <c r="B30"/>
      <c r="C30"/>
      <c r="E30"/>
      <c r="F30"/>
    </row>
    <row r="31" spans="2:6">
      <c r="B31"/>
      <c r="C31"/>
      <c r="E31"/>
      <c r="F31"/>
    </row>
    <row r="32" spans="2:6">
      <c r="B32"/>
      <c r="C32"/>
      <c r="E32"/>
      <c r="F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6" orientation="portrait" horizontalDpi="300" verticalDpi="300" r:id="rId2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1:F61"/>
  <sheetViews>
    <sheetView workbookViewId="0">
      <selection activeCell="E21" sqref="A1:F21"/>
    </sheetView>
  </sheetViews>
  <sheetFormatPr baseColWidth="10" defaultRowHeight="15"/>
  <cols>
    <col min="1" max="1" width="1" customWidth="1"/>
    <col min="2" max="2" width="8.42578125" style="52" customWidth="1"/>
    <col min="3" max="3" width="9.42578125" style="52" customWidth="1"/>
    <col min="4" max="4" width="46.140625" customWidth="1"/>
    <col min="5" max="5" width="9.85546875" style="35" bestFit="1" customWidth="1"/>
    <col min="6" max="6" width="9.140625" style="97" bestFit="1" customWidth="1"/>
    <col min="7" max="7" width="20.28515625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44576</v>
      </c>
      <c r="E5" s="147" t="s">
        <v>118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31" t="s">
        <v>105</v>
      </c>
      <c r="E7" s="131"/>
      <c r="F7" s="132"/>
    </row>
    <row r="8" spans="2:6">
      <c r="B8" s="133" t="s">
        <v>83</v>
      </c>
      <c r="C8" s="134"/>
      <c r="D8" s="135"/>
      <c r="E8" s="135"/>
      <c r="F8" s="136"/>
    </row>
    <row r="9" spans="2:6" ht="15.75" thickBot="1">
      <c r="B9" s="137" t="s">
        <v>84</v>
      </c>
      <c r="C9" s="138"/>
      <c r="D9" s="139" t="s">
        <v>85</v>
      </c>
      <c r="E9" s="139"/>
      <c r="F9" s="140"/>
    </row>
    <row r="10" spans="2:6" ht="8.25" customHeight="1">
      <c r="B10" s="99"/>
      <c r="C10" s="98"/>
      <c r="D10" s="100"/>
      <c r="E10" s="100"/>
      <c r="F10" s="100"/>
    </row>
    <row r="11" spans="2:6">
      <c r="B11" s="123" t="s">
        <v>90</v>
      </c>
      <c r="C11" s="122"/>
      <c r="D11" s="122"/>
      <c r="E11" s="122"/>
      <c r="F11" s="124"/>
    </row>
    <row r="12" spans="2:6">
      <c r="B12" s="121" t="s">
        <v>0</v>
      </c>
      <c r="C12" s="120" t="s">
        <v>6</v>
      </c>
      <c r="D12" s="120" t="s">
        <v>1</v>
      </c>
      <c r="E12" s="120" t="s">
        <v>86</v>
      </c>
      <c r="F12" s="119" t="s">
        <v>78</v>
      </c>
    </row>
    <row r="13" spans="2:6">
      <c r="B13" s="31">
        <v>2</v>
      </c>
      <c r="C13" s="119">
        <v>7.8</v>
      </c>
      <c r="D13" s="119" t="s">
        <v>53</v>
      </c>
      <c r="E13" s="119">
        <v>95</v>
      </c>
      <c r="F13" s="124">
        <v>741</v>
      </c>
    </row>
    <row r="14" spans="2:6">
      <c r="B14" s="31">
        <v>6</v>
      </c>
      <c r="C14" s="119">
        <v>19.100000000000001</v>
      </c>
      <c r="D14" s="119" t="s">
        <v>55</v>
      </c>
      <c r="E14" s="119">
        <v>150</v>
      </c>
      <c r="F14" s="124">
        <v>2865</v>
      </c>
    </row>
    <row r="15" spans="2:6">
      <c r="B15" s="31">
        <v>11</v>
      </c>
      <c r="C15" s="119">
        <v>9</v>
      </c>
      <c r="D15" s="119" t="s">
        <v>44</v>
      </c>
      <c r="E15" s="119">
        <v>160</v>
      </c>
      <c r="F15" s="124">
        <v>1440</v>
      </c>
    </row>
    <row r="16" spans="2:6">
      <c r="B16" s="31">
        <v>15</v>
      </c>
      <c r="C16" s="119">
        <v>5.4</v>
      </c>
      <c r="D16" s="119" t="s">
        <v>59</v>
      </c>
      <c r="E16" s="119">
        <v>145</v>
      </c>
      <c r="F16" s="124">
        <v>783</v>
      </c>
    </row>
    <row r="17" spans="2:6">
      <c r="B17" s="31">
        <v>16</v>
      </c>
      <c r="C17" s="119">
        <v>1.02</v>
      </c>
      <c r="D17" s="119" t="s">
        <v>60</v>
      </c>
      <c r="E17" s="119">
        <v>130</v>
      </c>
      <c r="F17" s="124">
        <v>132.6</v>
      </c>
    </row>
    <row r="18" spans="2:6">
      <c r="B18" s="31">
        <v>17</v>
      </c>
      <c r="C18" s="119">
        <v>16</v>
      </c>
      <c r="D18" s="119" t="s">
        <v>49</v>
      </c>
      <c r="E18" s="119">
        <v>38</v>
      </c>
      <c r="F18" s="124">
        <v>608</v>
      </c>
    </row>
    <row r="19" spans="2:6">
      <c r="B19" s="31">
        <v>19</v>
      </c>
      <c r="C19" s="119">
        <v>1.35</v>
      </c>
      <c r="D19" s="119" t="s">
        <v>51</v>
      </c>
      <c r="E19" s="119">
        <v>120</v>
      </c>
      <c r="F19" s="124">
        <v>162</v>
      </c>
    </row>
    <row r="20" spans="2:6">
      <c r="B20" s="31">
        <v>22</v>
      </c>
      <c r="C20" s="119">
        <v>1.75</v>
      </c>
      <c r="D20" s="119" t="s">
        <v>61</v>
      </c>
      <c r="E20" s="119">
        <v>40</v>
      </c>
      <c r="F20" s="124">
        <v>70</v>
      </c>
    </row>
    <row r="21" spans="2:6">
      <c r="B21" s="122" t="s">
        <v>76</v>
      </c>
      <c r="C21" s="122"/>
      <c r="D21" s="122"/>
      <c r="E21" s="122"/>
      <c r="F21" s="124">
        <v>6801.6</v>
      </c>
    </row>
    <row r="22" spans="2:6">
      <c r="B22"/>
      <c r="C22"/>
      <c r="E22"/>
      <c r="F22"/>
    </row>
    <row r="23" spans="2:6">
      <c r="B23"/>
      <c r="C23"/>
      <c r="E23"/>
      <c r="F23"/>
    </row>
    <row r="24" spans="2:6">
      <c r="B24"/>
      <c r="C24"/>
      <c r="E24"/>
      <c r="F24"/>
    </row>
    <row r="25" spans="2:6">
      <c r="B25"/>
      <c r="C25"/>
      <c r="E25"/>
      <c r="F25"/>
    </row>
    <row r="26" spans="2:6">
      <c r="B26"/>
      <c r="C26"/>
      <c r="E26"/>
      <c r="F26"/>
    </row>
    <row r="27" spans="2:6">
      <c r="B27"/>
      <c r="C27"/>
      <c r="E27"/>
      <c r="F27"/>
    </row>
    <row r="28" spans="2:6">
      <c r="B28"/>
      <c r="C28"/>
      <c r="E28"/>
      <c r="F28"/>
    </row>
    <row r="29" spans="2:6">
      <c r="B29"/>
      <c r="C29"/>
      <c r="E29"/>
      <c r="F29"/>
    </row>
    <row r="30" spans="2:6">
      <c r="B30"/>
      <c r="C30"/>
      <c r="E30"/>
      <c r="F30"/>
    </row>
    <row r="31" spans="2:6">
      <c r="B31"/>
      <c r="C31"/>
      <c r="E31"/>
      <c r="F31"/>
    </row>
    <row r="32" spans="2:6">
      <c r="B32"/>
      <c r="C32"/>
      <c r="E32"/>
      <c r="F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6" orientation="portrait" r:id="rId2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1:F61"/>
  <sheetViews>
    <sheetView workbookViewId="0">
      <selection activeCell="F21" sqref="A1:F21"/>
    </sheetView>
  </sheetViews>
  <sheetFormatPr baseColWidth="10" defaultRowHeight="15"/>
  <cols>
    <col min="1" max="1" width="1" customWidth="1"/>
    <col min="2" max="2" width="8.42578125" style="52" customWidth="1"/>
    <col min="3" max="3" width="9.42578125" style="52" customWidth="1"/>
    <col min="4" max="4" width="46.140625" customWidth="1"/>
    <col min="5" max="5" width="9.85546875" style="35" bestFit="1" customWidth="1"/>
    <col min="6" max="6" width="9.140625" style="97" bestFit="1" customWidth="1"/>
    <col min="7" max="7" width="9.140625" bestFit="1" customWidth="1"/>
    <col min="8" max="8" width="22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44577</v>
      </c>
      <c r="E5" s="147" t="s">
        <v>112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31" t="s">
        <v>105</v>
      </c>
      <c r="E7" s="131"/>
      <c r="F7" s="132"/>
    </row>
    <row r="8" spans="2:6">
      <c r="B8" s="133" t="s">
        <v>83</v>
      </c>
      <c r="C8" s="134"/>
      <c r="D8" s="135"/>
      <c r="E8" s="135"/>
      <c r="F8" s="136"/>
    </row>
    <row r="9" spans="2:6" ht="15.75" thickBot="1">
      <c r="B9" s="137" t="s">
        <v>84</v>
      </c>
      <c r="C9" s="138"/>
      <c r="D9" s="139" t="s">
        <v>85</v>
      </c>
      <c r="E9" s="139"/>
      <c r="F9" s="140"/>
    </row>
    <row r="10" spans="2:6" ht="8.25" customHeight="1">
      <c r="B10" s="99"/>
      <c r="C10" s="98"/>
      <c r="D10" s="100"/>
      <c r="E10" s="100"/>
      <c r="F10" s="100"/>
    </row>
    <row r="11" spans="2:6">
      <c r="B11" s="123" t="s">
        <v>91</v>
      </c>
      <c r="C11" s="122"/>
      <c r="D11" s="122"/>
      <c r="E11" s="122"/>
      <c r="F11" s="124"/>
    </row>
    <row r="12" spans="2:6">
      <c r="B12" s="121" t="s">
        <v>0</v>
      </c>
      <c r="C12" s="120" t="s">
        <v>7</v>
      </c>
      <c r="D12" s="120" t="s">
        <v>1</v>
      </c>
      <c r="E12" s="120" t="s">
        <v>86</v>
      </c>
      <c r="F12" s="119" t="s">
        <v>78</v>
      </c>
    </row>
    <row r="13" spans="2:6">
      <c r="B13" s="31">
        <v>5</v>
      </c>
      <c r="C13" s="119">
        <v>19.5</v>
      </c>
      <c r="D13" s="119" t="s">
        <v>138</v>
      </c>
      <c r="E13" s="119">
        <v>90</v>
      </c>
      <c r="F13" s="124">
        <v>1755</v>
      </c>
    </row>
    <row r="14" spans="2:6">
      <c r="B14" s="31">
        <v>6</v>
      </c>
      <c r="C14" s="119">
        <v>3.13</v>
      </c>
      <c r="D14" s="119" t="s">
        <v>55</v>
      </c>
      <c r="E14" s="119">
        <v>150</v>
      </c>
      <c r="F14" s="124">
        <v>469.5</v>
      </c>
    </row>
    <row r="15" spans="2:6">
      <c r="B15" s="31">
        <v>9</v>
      </c>
      <c r="C15" s="119">
        <v>15.45</v>
      </c>
      <c r="D15" s="119" t="s">
        <v>139</v>
      </c>
      <c r="E15" s="119">
        <v>75</v>
      </c>
      <c r="F15" s="124">
        <v>1158.75</v>
      </c>
    </row>
    <row r="16" spans="2:6">
      <c r="B16" s="31">
        <v>15</v>
      </c>
      <c r="C16" s="119">
        <v>5.4</v>
      </c>
      <c r="D16" s="119" t="s">
        <v>59</v>
      </c>
      <c r="E16" s="119">
        <v>145</v>
      </c>
      <c r="F16" s="124">
        <v>783</v>
      </c>
    </row>
    <row r="17" spans="2:6">
      <c r="B17" s="31">
        <v>16</v>
      </c>
      <c r="C17" s="119">
        <v>1.35</v>
      </c>
      <c r="D17" s="119" t="s">
        <v>60</v>
      </c>
      <c r="E17" s="119">
        <v>130</v>
      </c>
      <c r="F17" s="124">
        <v>175.5</v>
      </c>
    </row>
    <row r="18" spans="2:6">
      <c r="B18" s="31">
        <v>17</v>
      </c>
      <c r="C18" s="119">
        <v>9</v>
      </c>
      <c r="D18" s="119" t="s">
        <v>49</v>
      </c>
      <c r="E18" s="119">
        <v>38</v>
      </c>
      <c r="F18" s="124">
        <v>342</v>
      </c>
    </row>
    <row r="19" spans="2:6">
      <c r="B19" s="31">
        <v>19</v>
      </c>
      <c r="C19" s="119">
        <v>3</v>
      </c>
      <c r="D19" s="119" t="s">
        <v>51</v>
      </c>
      <c r="E19" s="119">
        <v>120</v>
      </c>
      <c r="F19" s="124">
        <v>360</v>
      </c>
    </row>
    <row r="20" spans="2:6">
      <c r="B20" s="31">
        <v>24</v>
      </c>
      <c r="C20" s="119">
        <v>0.4</v>
      </c>
      <c r="D20" s="119" t="s">
        <v>63</v>
      </c>
      <c r="E20" s="119">
        <v>140</v>
      </c>
      <c r="F20" s="124">
        <v>56</v>
      </c>
    </row>
    <row r="21" spans="2:6">
      <c r="B21" s="122" t="s">
        <v>76</v>
      </c>
      <c r="C21" s="122"/>
      <c r="D21" s="122"/>
      <c r="E21" s="122"/>
      <c r="F21" s="124">
        <v>5099.75</v>
      </c>
    </row>
    <row r="22" spans="2:6">
      <c r="B22"/>
      <c r="C22"/>
      <c r="E22"/>
      <c r="F22"/>
    </row>
    <row r="23" spans="2:6">
      <c r="B23"/>
      <c r="C23"/>
      <c r="E23"/>
      <c r="F23"/>
    </row>
    <row r="24" spans="2:6">
      <c r="B24"/>
      <c r="C24"/>
      <c r="E24"/>
      <c r="F24"/>
    </row>
    <row r="25" spans="2:6">
      <c r="B25"/>
      <c r="C25"/>
      <c r="E25"/>
      <c r="F25"/>
    </row>
    <row r="26" spans="2:6">
      <c r="B26"/>
      <c r="C26"/>
      <c r="E26"/>
      <c r="F26"/>
    </row>
    <row r="27" spans="2:6">
      <c r="B27"/>
      <c r="C27"/>
      <c r="E27"/>
      <c r="F27"/>
    </row>
    <row r="28" spans="2:6">
      <c r="B28"/>
      <c r="C28"/>
      <c r="E28"/>
      <c r="F28"/>
    </row>
    <row r="29" spans="2:6">
      <c r="B29"/>
      <c r="C29"/>
      <c r="E29"/>
      <c r="F29"/>
    </row>
    <row r="30" spans="2:6">
      <c r="B30"/>
      <c r="C30"/>
      <c r="E30"/>
      <c r="F30"/>
    </row>
    <row r="31" spans="2:6">
      <c r="B31"/>
      <c r="C31"/>
      <c r="E31"/>
      <c r="F31"/>
    </row>
    <row r="32" spans="2:6">
      <c r="B32"/>
      <c r="C32"/>
      <c r="E32"/>
      <c r="F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6" orientation="portrait" horizontalDpi="300" verticalDpi="300" r:id="rId2"/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1:F61"/>
  <sheetViews>
    <sheetView workbookViewId="0">
      <selection activeCell="F19" sqref="A1:F19"/>
    </sheetView>
  </sheetViews>
  <sheetFormatPr baseColWidth="10" defaultRowHeight="15"/>
  <cols>
    <col min="1" max="1" width="1" customWidth="1"/>
    <col min="2" max="2" width="8.42578125" style="52" customWidth="1"/>
    <col min="3" max="3" width="9.42578125" style="52" customWidth="1"/>
    <col min="4" max="4" width="46.140625" customWidth="1"/>
    <col min="5" max="5" width="9.85546875" style="35" bestFit="1" customWidth="1"/>
    <col min="6" max="6" width="9.140625" style="97" bestFit="1" customWidth="1"/>
    <col min="7" max="7" width="9.140625" bestFit="1" customWidth="1"/>
    <col min="8" max="8" width="19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44578</v>
      </c>
      <c r="E5" s="147" t="s">
        <v>115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31" t="s">
        <v>105</v>
      </c>
      <c r="E7" s="131"/>
      <c r="F7" s="132"/>
    </row>
    <row r="8" spans="2:6">
      <c r="B8" s="133" t="s">
        <v>83</v>
      </c>
      <c r="C8" s="134"/>
      <c r="D8" s="135"/>
      <c r="E8" s="135"/>
      <c r="F8" s="136"/>
    </row>
    <row r="9" spans="2:6" ht="15.75" thickBot="1">
      <c r="B9" s="137" t="s">
        <v>84</v>
      </c>
      <c r="C9" s="138"/>
      <c r="D9" s="139" t="s">
        <v>85</v>
      </c>
      <c r="E9" s="139"/>
      <c r="F9" s="140"/>
    </row>
    <row r="10" spans="2:6" ht="8.25" customHeight="1">
      <c r="B10" s="99"/>
      <c r="C10" s="98"/>
      <c r="D10" s="100"/>
      <c r="E10" s="100"/>
      <c r="F10" s="100"/>
    </row>
    <row r="11" spans="2:6">
      <c r="B11" s="123" t="s">
        <v>92</v>
      </c>
      <c r="C11" s="122"/>
      <c r="D11" s="122"/>
      <c r="E11" s="122"/>
      <c r="F11" s="124"/>
    </row>
    <row r="12" spans="2:6">
      <c r="B12" s="121" t="s">
        <v>0</v>
      </c>
      <c r="C12" s="120" t="s">
        <v>8</v>
      </c>
      <c r="D12" s="120" t="s">
        <v>1</v>
      </c>
      <c r="E12" s="120" t="s">
        <v>86</v>
      </c>
      <c r="F12" s="119" t="s">
        <v>78</v>
      </c>
    </row>
    <row r="13" spans="2:6">
      <c r="B13" s="31">
        <v>2</v>
      </c>
      <c r="C13" s="119">
        <v>9</v>
      </c>
      <c r="D13" s="119" t="s">
        <v>53</v>
      </c>
      <c r="E13" s="119">
        <v>95</v>
      </c>
      <c r="F13" s="124">
        <v>855</v>
      </c>
    </row>
    <row r="14" spans="2:6">
      <c r="B14" s="31">
        <v>6</v>
      </c>
      <c r="C14" s="119">
        <v>21.38</v>
      </c>
      <c r="D14" s="119" t="s">
        <v>55</v>
      </c>
      <c r="E14" s="119">
        <v>150</v>
      </c>
      <c r="F14" s="124">
        <v>3207</v>
      </c>
    </row>
    <row r="15" spans="2:6">
      <c r="B15" s="31">
        <v>16</v>
      </c>
      <c r="C15" s="119">
        <v>9.4600000000000009</v>
      </c>
      <c r="D15" s="119" t="s">
        <v>60</v>
      </c>
      <c r="E15" s="119">
        <v>130</v>
      </c>
      <c r="F15" s="124">
        <v>1229.8000000000002</v>
      </c>
    </row>
    <row r="16" spans="2:6">
      <c r="B16" s="31">
        <v>17</v>
      </c>
      <c r="C16" s="119">
        <v>4</v>
      </c>
      <c r="D16" s="119" t="s">
        <v>49</v>
      </c>
      <c r="E16" s="119">
        <v>38</v>
      </c>
      <c r="F16" s="124">
        <v>152</v>
      </c>
    </row>
    <row r="17" spans="2:6">
      <c r="B17" s="31">
        <v>18</v>
      </c>
      <c r="C17" s="119">
        <v>4.8</v>
      </c>
      <c r="D17" s="119" t="s">
        <v>50</v>
      </c>
      <c r="E17" s="119">
        <v>180</v>
      </c>
      <c r="F17" s="124">
        <v>864</v>
      </c>
    </row>
    <row r="18" spans="2:6">
      <c r="B18" s="31">
        <v>19</v>
      </c>
      <c r="C18" s="119">
        <v>2.7</v>
      </c>
      <c r="D18" s="119" t="s">
        <v>51</v>
      </c>
      <c r="E18" s="119">
        <v>120</v>
      </c>
      <c r="F18" s="124">
        <v>324</v>
      </c>
    </row>
    <row r="19" spans="2:6">
      <c r="B19" s="122" t="s">
        <v>76</v>
      </c>
      <c r="C19" s="122"/>
      <c r="D19" s="122"/>
      <c r="E19" s="122"/>
      <c r="F19" s="124">
        <v>6631.8</v>
      </c>
    </row>
    <row r="20" spans="2:6">
      <c r="B20"/>
      <c r="C20"/>
      <c r="E20"/>
      <c r="F20"/>
    </row>
    <row r="21" spans="2:6">
      <c r="B21"/>
      <c r="C21"/>
      <c r="E21"/>
      <c r="F21"/>
    </row>
    <row r="22" spans="2:6">
      <c r="B22"/>
      <c r="C22"/>
      <c r="E22"/>
      <c r="F22"/>
    </row>
    <row r="23" spans="2:6">
      <c r="B23"/>
      <c r="C23"/>
      <c r="E23"/>
      <c r="F23"/>
    </row>
    <row r="24" spans="2:6">
      <c r="B24"/>
      <c r="C24"/>
      <c r="E24"/>
      <c r="F24"/>
    </row>
    <row r="25" spans="2:6">
      <c r="B25"/>
      <c r="C25"/>
      <c r="E25"/>
      <c r="F25"/>
    </row>
    <row r="26" spans="2:6">
      <c r="B26"/>
      <c r="C26"/>
      <c r="E26"/>
      <c r="F26"/>
    </row>
    <row r="27" spans="2:6">
      <c r="B27"/>
      <c r="C27"/>
      <c r="E27"/>
      <c r="F27"/>
    </row>
    <row r="28" spans="2:6">
      <c r="B28"/>
      <c r="C28"/>
      <c r="E28"/>
      <c r="F28"/>
    </row>
    <row r="29" spans="2:6">
      <c r="B29"/>
      <c r="C29"/>
      <c r="E29"/>
      <c r="F29"/>
    </row>
    <row r="30" spans="2:6">
      <c r="B30"/>
      <c r="C30"/>
      <c r="E30"/>
      <c r="F30"/>
    </row>
    <row r="31" spans="2:6">
      <c r="B31"/>
      <c r="C31"/>
      <c r="E31"/>
      <c r="F31"/>
    </row>
    <row r="32" spans="2:6">
      <c r="B32"/>
      <c r="C32"/>
      <c r="E32"/>
      <c r="F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6" orientation="portrait" horizontalDpi="300" verticalDpi="300" r:id="rId2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1:R37"/>
  <sheetViews>
    <sheetView workbookViewId="0">
      <selection activeCell="F16" sqref="B1:F16"/>
    </sheetView>
  </sheetViews>
  <sheetFormatPr baseColWidth="10" defaultRowHeight="15"/>
  <cols>
    <col min="1" max="1" width="2.7109375" customWidth="1"/>
    <col min="2" max="2" width="8.42578125" customWidth="1"/>
    <col min="3" max="3" width="9.42578125" customWidth="1"/>
    <col min="4" max="4" width="47.7109375" customWidth="1"/>
    <col min="5" max="5" width="16.140625" style="97" bestFit="1" customWidth="1"/>
    <col min="6" max="6" width="9.140625" style="97" bestFit="1" customWidth="1"/>
  </cols>
  <sheetData>
    <row r="1" spans="2:18">
      <c r="B1" s="141"/>
      <c r="C1" s="141"/>
      <c r="D1" s="142" t="s">
        <v>79</v>
      </c>
      <c r="E1" s="142"/>
      <c r="F1" s="142"/>
    </row>
    <row r="2" spans="2:18">
      <c r="B2" s="141"/>
      <c r="C2" s="141"/>
      <c r="D2" s="142"/>
      <c r="E2" s="142"/>
      <c r="F2" s="142"/>
    </row>
    <row r="3" spans="2:18">
      <c r="B3" s="141"/>
      <c r="C3" s="141"/>
      <c r="D3" s="143" t="s">
        <v>80</v>
      </c>
      <c r="E3" s="143"/>
      <c r="F3" s="143"/>
    </row>
    <row r="4" spans="2:18" ht="15.75" thickBot="1">
      <c r="B4" s="98"/>
      <c r="C4" s="98"/>
      <c r="D4" s="144" t="s">
        <v>81</v>
      </c>
      <c r="E4" s="144"/>
      <c r="F4" s="144"/>
    </row>
    <row r="5" spans="2:18">
      <c r="B5" s="98"/>
      <c r="C5" s="98"/>
      <c r="D5" s="145">
        <v>44571</v>
      </c>
      <c r="E5" s="147" t="s">
        <v>127</v>
      </c>
      <c r="F5" s="148"/>
      <c r="R5" t="s">
        <v>107</v>
      </c>
    </row>
    <row r="6" spans="2:18" ht="15.75" thickBot="1">
      <c r="B6" s="98"/>
      <c r="C6" s="98"/>
      <c r="D6" s="146"/>
      <c r="E6" s="149"/>
      <c r="F6" s="150"/>
    </row>
    <row r="7" spans="2:18">
      <c r="B7" s="129" t="s">
        <v>82</v>
      </c>
      <c r="C7" s="130"/>
      <c r="D7" s="131" t="s">
        <v>106</v>
      </c>
      <c r="E7" s="131"/>
      <c r="F7" s="132"/>
    </row>
    <row r="8" spans="2:18">
      <c r="B8" s="133" t="s">
        <v>83</v>
      </c>
      <c r="C8" s="134"/>
      <c r="D8" s="135"/>
      <c r="E8" s="135"/>
      <c r="F8" s="136"/>
    </row>
    <row r="9" spans="2:18">
      <c r="B9" s="155" t="s">
        <v>84</v>
      </c>
      <c r="C9" s="156"/>
      <c r="D9" s="157" t="s">
        <v>85</v>
      </c>
      <c r="E9" s="157"/>
      <c r="F9" s="158"/>
    </row>
    <row r="10" spans="2:18">
      <c r="B10" s="120" t="s">
        <v>92</v>
      </c>
      <c r="C10" s="119"/>
      <c r="D10" s="119"/>
      <c r="E10" s="119"/>
      <c r="F10" s="124"/>
    </row>
    <row r="11" spans="2:18">
      <c r="B11" s="120" t="s">
        <v>0</v>
      </c>
      <c r="C11" s="120" t="s">
        <v>8</v>
      </c>
      <c r="D11" s="120" t="s">
        <v>1</v>
      </c>
      <c r="E11" s="120" t="s">
        <v>25</v>
      </c>
      <c r="F11" s="119" t="s">
        <v>78</v>
      </c>
    </row>
    <row r="12" spans="2:18">
      <c r="B12" s="119">
        <v>6</v>
      </c>
      <c r="C12" s="119">
        <v>10</v>
      </c>
      <c r="D12" s="119" t="s">
        <v>55</v>
      </c>
      <c r="E12" s="119">
        <v>150</v>
      </c>
      <c r="F12" s="124">
        <v>1500</v>
      </c>
    </row>
    <row r="13" spans="2:18">
      <c r="B13" s="119">
        <v>15</v>
      </c>
      <c r="C13" s="119">
        <v>6</v>
      </c>
      <c r="D13" s="119" t="s">
        <v>59</v>
      </c>
      <c r="E13" s="119">
        <v>145</v>
      </c>
      <c r="F13" s="124">
        <v>870</v>
      </c>
    </row>
    <row r="14" spans="2:18">
      <c r="B14" s="119">
        <v>16</v>
      </c>
      <c r="C14" s="119">
        <v>4</v>
      </c>
      <c r="D14" s="119" t="s">
        <v>60</v>
      </c>
      <c r="E14" s="119">
        <v>130</v>
      </c>
      <c r="F14" s="124">
        <v>520</v>
      </c>
    </row>
    <row r="15" spans="2:18">
      <c r="B15" s="119">
        <v>17</v>
      </c>
      <c r="C15" s="119">
        <v>12</v>
      </c>
      <c r="D15" s="119" t="s">
        <v>49</v>
      </c>
      <c r="E15" s="119">
        <v>38</v>
      </c>
      <c r="F15" s="124">
        <v>456</v>
      </c>
    </row>
    <row r="16" spans="2:18">
      <c r="B16" s="119" t="s">
        <v>76</v>
      </c>
      <c r="C16" s="119"/>
      <c r="D16" s="119"/>
      <c r="E16" s="119"/>
      <c r="F16" s="124">
        <v>3346</v>
      </c>
    </row>
    <row r="17" spans="5:6">
      <c r="E17"/>
      <c r="F17"/>
    </row>
    <row r="18" spans="5:6">
      <c r="E18"/>
      <c r="F18"/>
    </row>
    <row r="19" spans="5:6">
      <c r="E19"/>
      <c r="F19"/>
    </row>
    <row r="20" spans="5:6">
      <c r="E20"/>
      <c r="F20"/>
    </row>
    <row r="21" spans="5:6">
      <c r="E21"/>
      <c r="F21"/>
    </row>
    <row r="22" spans="5:6">
      <c r="E22"/>
      <c r="F22"/>
    </row>
    <row r="23" spans="5:6">
      <c r="E23"/>
      <c r="F23"/>
    </row>
    <row r="24" spans="5:6">
      <c r="E24"/>
      <c r="F24"/>
    </row>
    <row r="25" spans="5:6">
      <c r="E25"/>
      <c r="F25"/>
    </row>
    <row r="26" spans="5:6">
      <c r="E26"/>
      <c r="F26"/>
    </row>
    <row r="27" spans="5:6">
      <c r="E27"/>
      <c r="F27"/>
    </row>
    <row r="28" spans="5:6">
      <c r="E28"/>
      <c r="F28"/>
    </row>
    <row r="29" spans="5:6">
      <c r="E29"/>
      <c r="F29"/>
    </row>
    <row r="30" spans="5:6">
      <c r="E30"/>
      <c r="F30"/>
    </row>
    <row r="31" spans="5:6">
      <c r="E31"/>
      <c r="F31"/>
    </row>
    <row r="32" spans="5:6">
      <c r="E32"/>
      <c r="F32"/>
    </row>
    <row r="33" spans="5:6">
      <c r="E33"/>
      <c r="F33"/>
    </row>
    <row r="34" spans="5:6">
      <c r="E34"/>
      <c r="F34"/>
    </row>
    <row r="35" spans="5:6">
      <c r="E35"/>
      <c r="F35"/>
    </row>
    <row r="36" spans="5:6">
      <c r="E36"/>
      <c r="F36"/>
    </row>
    <row r="37" spans="5:6">
      <c r="E37"/>
      <c r="F37"/>
    </row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280" scale="21" orientation="portrait" r:id="rId2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B1:F60"/>
  <sheetViews>
    <sheetView workbookViewId="0">
      <selection activeCell="F16" sqref="B1:F16"/>
    </sheetView>
  </sheetViews>
  <sheetFormatPr baseColWidth="10" defaultRowHeight="15"/>
  <cols>
    <col min="1" max="1" width="2.7109375" customWidth="1"/>
    <col min="2" max="2" width="8.42578125" customWidth="1"/>
    <col min="3" max="3" width="9.42578125" customWidth="1"/>
    <col min="4" max="4" width="47.7109375" customWidth="1"/>
    <col min="5" max="5" width="16.140625" style="97" bestFit="1" customWidth="1"/>
    <col min="6" max="6" width="9.140625" style="97" bestFit="1" customWidth="1"/>
    <col min="7" max="7" width="9.140625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44572</v>
      </c>
      <c r="E5" s="147" t="s">
        <v>128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31" t="s">
        <v>106</v>
      </c>
      <c r="E7" s="131"/>
      <c r="F7" s="132"/>
    </row>
    <row r="8" spans="2:6">
      <c r="B8" s="133" t="s">
        <v>83</v>
      </c>
      <c r="C8" s="134"/>
      <c r="D8" s="135"/>
      <c r="E8" s="135"/>
      <c r="F8" s="136"/>
    </row>
    <row r="9" spans="2:6">
      <c r="B9" s="155" t="s">
        <v>84</v>
      </c>
      <c r="C9" s="156"/>
      <c r="D9" s="157" t="s">
        <v>85</v>
      </c>
      <c r="E9" s="157"/>
      <c r="F9" s="158"/>
    </row>
    <row r="10" spans="2:6">
      <c r="B10" s="120" t="s">
        <v>77</v>
      </c>
      <c r="C10" s="119"/>
      <c r="D10" s="119"/>
      <c r="E10" s="119"/>
      <c r="F10" s="124"/>
    </row>
    <row r="11" spans="2:6">
      <c r="B11" s="120" t="s">
        <v>0</v>
      </c>
      <c r="C11" s="120" t="s">
        <v>2</v>
      </c>
      <c r="D11" s="120" t="s">
        <v>1</v>
      </c>
      <c r="E11" s="120" t="s">
        <v>25</v>
      </c>
      <c r="F11" s="119" t="s">
        <v>78</v>
      </c>
    </row>
    <row r="12" spans="2:6">
      <c r="B12" s="119">
        <v>2</v>
      </c>
      <c r="C12" s="119">
        <v>6</v>
      </c>
      <c r="D12" s="119" t="s">
        <v>53</v>
      </c>
      <c r="E12" s="119">
        <v>95</v>
      </c>
      <c r="F12" s="124">
        <v>570</v>
      </c>
    </row>
    <row r="13" spans="2:6">
      <c r="B13" s="119">
        <v>6</v>
      </c>
      <c r="C13" s="119">
        <v>10</v>
      </c>
      <c r="D13" s="119" t="s">
        <v>55</v>
      </c>
      <c r="E13" s="119">
        <v>150</v>
      </c>
      <c r="F13" s="124">
        <v>1500</v>
      </c>
    </row>
    <row r="14" spans="2:6">
      <c r="B14" s="119">
        <v>16</v>
      </c>
      <c r="C14" s="119">
        <v>2.5</v>
      </c>
      <c r="D14" s="119" t="s">
        <v>60</v>
      </c>
      <c r="E14" s="119">
        <v>130</v>
      </c>
      <c r="F14" s="124">
        <v>325</v>
      </c>
    </row>
    <row r="15" spans="2:6">
      <c r="B15" s="119">
        <v>17</v>
      </c>
      <c r="C15" s="119">
        <v>5</v>
      </c>
      <c r="D15" s="119" t="s">
        <v>49</v>
      </c>
      <c r="E15" s="119">
        <v>38</v>
      </c>
      <c r="F15" s="124">
        <v>190</v>
      </c>
    </row>
    <row r="16" spans="2:6">
      <c r="B16" s="119" t="s">
        <v>76</v>
      </c>
      <c r="C16" s="119"/>
      <c r="D16" s="119"/>
      <c r="E16" s="119"/>
      <c r="F16" s="124">
        <v>2585</v>
      </c>
    </row>
    <row r="17" spans="5:6">
      <c r="E17"/>
      <c r="F17"/>
    </row>
    <row r="18" spans="5:6">
      <c r="E18"/>
      <c r="F18"/>
    </row>
    <row r="19" spans="5:6">
      <c r="E19"/>
      <c r="F19"/>
    </row>
    <row r="20" spans="5:6">
      <c r="E20"/>
      <c r="F20"/>
    </row>
    <row r="21" spans="5:6">
      <c r="E21"/>
      <c r="F21"/>
    </row>
    <row r="22" spans="5:6">
      <c r="E22"/>
      <c r="F22"/>
    </row>
    <row r="23" spans="5:6">
      <c r="E23"/>
      <c r="F23"/>
    </row>
    <row r="24" spans="5:6">
      <c r="E24"/>
      <c r="F24"/>
    </row>
    <row r="25" spans="5:6">
      <c r="E25"/>
      <c r="F25"/>
    </row>
    <row r="26" spans="5:6">
      <c r="E26"/>
      <c r="F26"/>
    </row>
    <row r="27" spans="5:6">
      <c r="E27"/>
      <c r="F27"/>
    </row>
    <row r="28" spans="5:6">
      <c r="E28"/>
      <c r="F28"/>
    </row>
    <row r="29" spans="5:6">
      <c r="E29"/>
      <c r="F29"/>
    </row>
    <row r="30" spans="5:6">
      <c r="E30"/>
      <c r="F30"/>
    </row>
    <row r="31" spans="5:6">
      <c r="E31"/>
      <c r="F31"/>
    </row>
    <row r="32" spans="5:6">
      <c r="E32"/>
      <c r="F32"/>
    </row>
    <row r="33" spans="5:6">
      <c r="E33"/>
      <c r="F33"/>
    </row>
    <row r="34" spans="5:6">
      <c r="E34"/>
      <c r="F34"/>
    </row>
    <row r="35" spans="5:6">
      <c r="E35"/>
      <c r="F35"/>
    </row>
    <row r="36" spans="5:6">
      <c r="E36"/>
      <c r="F36"/>
    </row>
    <row r="37" spans="5:6">
      <c r="E37"/>
      <c r="F37"/>
    </row>
    <row r="38" spans="5:6">
      <c r="E38"/>
      <c r="F38"/>
    </row>
    <row r="39" spans="5:6">
      <c r="E39"/>
      <c r="F39"/>
    </row>
    <row r="40" spans="5:6">
      <c r="E40"/>
      <c r="F40"/>
    </row>
    <row r="41" spans="5:6">
      <c r="E41"/>
      <c r="F41"/>
    </row>
    <row r="42" spans="5:6">
      <c r="E42"/>
      <c r="F42"/>
    </row>
    <row r="43" spans="5:6">
      <c r="E43"/>
      <c r="F43"/>
    </row>
    <row r="44" spans="5:6">
      <c r="E44"/>
      <c r="F44"/>
    </row>
    <row r="45" spans="5:6">
      <c r="E45"/>
      <c r="F45"/>
    </row>
    <row r="46" spans="5:6">
      <c r="E46"/>
      <c r="F46"/>
    </row>
    <row r="47" spans="5:6">
      <c r="E47"/>
      <c r="F47"/>
    </row>
    <row r="48" spans="5:6">
      <c r="E48"/>
      <c r="F48"/>
    </row>
    <row r="49" spans="5:6">
      <c r="E49"/>
      <c r="F49"/>
    </row>
    <row r="50" spans="5:6">
      <c r="E50"/>
      <c r="F50"/>
    </row>
    <row r="51" spans="5:6">
      <c r="E51"/>
      <c r="F51"/>
    </row>
    <row r="52" spans="5:6">
      <c r="E52"/>
      <c r="F52"/>
    </row>
    <row r="53" spans="5:6">
      <c r="E53"/>
      <c r="F53"/>
    </row>
    <row r="54" spans="5:6">
      <c r="E54"/>
      <c r="F54"/>
    </row>
    <row r="55" spans="5:6">
      <c r="E55"/>
      <c r="F55"/>
    </row>
    <row r="56" spans="5:6">
      <c r="E56"/>
      <c r="F56"/>
    </row>
    <row r="57" spans="5:6">
      <c r="E57"/>
      <c r="F57"/>
    </row>
    <row r="58" spans="5:6">
      <c r="E58"/>
      <c r="F58"/>
    </row>
    <row r="59" spans="5:6">
      <c r="E59"/>
      <c r="F59"/>
    </row>
    <row r="60" spans="5:6">
      <c r="E60"/>
      <c r="F60"/>
    </row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0" orientation="portrait" horizontalDpi="300" verticalDpi="300" r:id="rId2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B1:F60"/>
  <sheetViews>
    <sheetView workbookViewId="0">
      <selection activeCell="F15" sqref="B1:F15"/>
    </sheetView>
  </sheetViews>
  <sheetFormatPr baseColWidth="10" defaultRowHeight="15"/>
  <cols>
    <col min="1" max="1" width="2.7109375" customWidth="1"/>
    <col min="2" max="2" width="8.42578125" customWidth="1"/>
    <col min="3" max="3" width="9.42578125" customWidth="1"/>
    <col min="4" max="4" width="47.7109375" customWidth="1"/>
    <col min="5" max="5" width="16.140625" style="97" bestFit="1" customWidth="1"/>
    <col min="6" max="6" width="7.5703125" style="97" bestFit="1" customWidth="1"/>
    <col min="7" max="7" width="7.42578125" bestFit="1" customWidth="1"/>
    <col min="8" max="8" width="22.85546875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44573</v>
      </c>
      <c r="E5" s="147" t="s">
        <v>119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31" t="s">
        <v>106</v>
      </c>
      <c r="E7" s="131"/>
      <c r="F7" s="132"/>
    </row>
    <row r="8" spans="2:6">
      <c r="B8" s="133" t="s">
        <v>83</v>
      </c>
      <c r="C8" s="134"/>
      <c r="D8" s="135"/>
      <c r="E8" s="135"/>
      <c r="F8" s="136"/>
    </row>
    <row r="9" spans="2:6">
      <c r="B9" s="155" t="s">
        <v>84</v>
      </c>
      <c r="C9" s="156"/>
      <c r="D9" s="157" t="s">
        <v>85</v>
      </c>
      <c r="E9" s="157"/>
      <c r="F9" s="158"/>
    </row>
    <row r="10" spans="2:6">
      <c r="B10" s="120" t="s">
        <v>87</v>
      </c>
      <c r="C10" s="119"/>
      <c r="D10" s="119"/>
      <c r="E10" s="119"/>
      <c r="F10" s="124"/>
    </row>
    <row r="11" spans="2:6">
      <c r="B11" s="120" t="s">
        <v>0</v>
      </c>
      <c r="C11" s="120" t="s">
        <v>3</v>
      </c>
      <c r="D11" s="120" t="s">
        <v>1</v>
      </c>
      <c r="E11" s="120" t="s">
        <v>25</v>
      </c>
      <c r="F11" s="119" t="s">
        <v>78</v>
      </c>
    </row>
    <row r="12" spans="2:6">
      <c r="B12" s="119">
        <v>6</v>
      </c>
      <c r="C12" s="119">
        <v>2.5</v>
      </c>
      <c r="D12" s="119" t="s">
        <v>55</v>
      </c>
      <c r="E12" s="119">
        <v>150</v>
      </c>
      <c r="F12" s="124">
        <v>375</v>
      </c>
    </row>
    <row r="13" spans="2:6">
      <c r="B13" s="119">
        <v>16</v>
      </c>
      <c r="C13" s="119">
        <v>1.5</v>
      </c>
      <c r="D13" s="119" t="s">
        <v>60</v>
      </c>
      <c r="E13" s="119">
        <v>130</v>
      </c>
      <c r="F13" s="124">
        <v>195</v>
      </c>
    </row>
    <row r="14" spans="2:6">
      <c r="B14" s="119">
        <v>17</v>
      </c>
      <c r="C14" s="119">
        <v>4</v>
      </c>
      <c r="D14" s="119" t="s">
        <v>49</v>
      </c>
      <c r="E14" s="119">
        <v>38</v>
      </c>
      <c r="F14" s="124">
        <v>152</v>
      </c>
    </row>
    <row r="15" spans="2:6">
      <c r="B15" s="119" t="s">
        <v>76</v>
      </c>
      <c r="C15" s="119"/>
      <c r="D15" s="119"/>
      <c r="E15" s="119"/>
      <c r="F15" s="124">
        <v>722</v>
      </c>
    </row>
    <row r="16" spans="2:6">
      <c r="E16"/>
      <c r="F16"/>
    </row>
    <row r="17" spans="5:6">
      <c r="E17"/>
      <c r="F17"/>
    </row>
    <row r="18" spans="5:6">
      <c r="E18"/>
      <c r="F18"/>
    </row>
    <row r="19" spans="5:6">
      <c r="E19"/>
      <c r="F19"/>
    </row>
    <row r="20" spans="5:6">
      <c r="E20"/>
      <c r="F20"/>
    </row>
    <row r="21" spans="5:6">
      <c r="E21"/>
      <c r="F21"/>
    </row>
    <row r="22" spans="5:6">
      <c r="E22"/>
      <c r="F22"/>
    </row>
    <row r="23" spans="5:6">
      <c r="E23"/>
      <c r="F23"/>
    </row>
    <row r="24" spans="5:6">
      <c r="E24"/>
      <c r="F24"/>
    </row>
    <row r="25" spans="5:6">
      <c r="E25"/>
      <c r="F25"/>
    </row>
    <row r="26" spans="5:6">
      <c r="E26"/>
      <c r="F26"/>
    </row>
    <row r="27" spans="5:6">
      <c r="E27"/>
      <c r="F27"/>
    </row>
    <row r="28" spans="5:6">
      <c r="E28"/>
      <c r="F28"/>
    </row>
    <row r="29" spans="5:6">
      <c r="E29"/>
      <c r="F29"/>
    </row>
    <row r="30" spans="5:6">
      <c r="E30"/>
      <c r="F30"/>
    </row>
    <row r="31" spans="5:6">
      <c r="E31"/>
      <c r="F31"/>
    </row>
    <row r="32" spans="5:6">
      <c r="E32"/>
      <c r="F32"/>
    </row>
    <row r="33" spans="5:6">
      <c r="E33"/>
      <c r="F33"/>
    </row>
    <row r="34" spans="5:6">
      <c r="E34"/>
      <c r="F34"/>
    </row>
    <row r="35" spans="5:6">
      <c r="E35"/>
      <c r="F35"/>
    </row>
    <row r="36" spans="5:6">
      <c r="E36"/>
      <c r="F36"/>
    </row>
    <row r="37" spans="5:6">
      <c r="E37"/>
      <c r="F37"/>
    </row>
    <row r="38" spans="5:6">
      <c r="E38"/>
      <c r="F38"/>
    </row>
    <row r="39" spans="5:6">
      <c r="E39"/>
      <c r="F39"/>
    </row>
    <row r="40" spans="5:6">
      <c r="E40"/>
      <c r="F40"/>
    </row>
    <row r="41" spans="5:6">
      <c r="E41"/>
      <c r="F41"/>
    </row>
    <row r="42" spans="5:6">
      <c r="E42"/>
      <c r="F42"/>
    </row>
    <row r="43" spans="5:6">
      <c r="E43"/>
      <c r="F43"/>
    </row>
    <row r="44" spans="5:6">
      <c r="E44"/>
      <c r="F44"/>
    </row>
    <row r="45" spans="5:6">
      <c r="E45"/>
      <c r="F45"/>
    </row>
    <row r="46" spans="5:6">
      <c r="E46"/>
      <c r="F46"/>
    </row>
    <row r="47" spans="5:6">
      <c r="E47"/>
      <c r="F47"/>
    </row>
    <row r="48" spans="5:6">
      <c r="E48"/>
      <c r="F48"/>
    </row>
    <row r="49" spans="5:6">
      <c r="E49"/>
      <c r="F49"/>
    </row>
    <row r="50" spans="5:6">
      <c r="E50"/>
      <c r="F50"/>
    </row>
    <row r="51" spans="5:6">
      <c r="E51"/>
      <c r="F51"/>
    </row>
    <row r="52" spans="5:6">
      <c r="E52"/>
      <c r="F52"/>
    </row>
    <row r="53" spans="5:6">
      <c r="E53"/>
      <c r="F53"/>
    </row>
    <row r="54" spans="5:6">
      <c r="E54"/>
      <c r="F54"/>
    </row>
    <row r="55" spans="5:6">
      <c r="E55"/>
      <c r="F55"/>
    </row>
    <row r="56" spans="5:6">
      <c r="E56"/>
      <c r="F56"/>
    </row>
    <row r="57" spans="5:6">
      <c r="E57"/>
      <c r="F57"/>
    </row>
    <row r="58" spans="5:6">
      <c r="E58"/>
      <c r="F58"/>
    </row>
    <row r="59" spans="5:6">
      <c r="E59"/>
      <c r="F59"/>
    </row>
    <row r="60" spans="5:6">
      <c r="E60"/>
      <c r="F60"/>
    </row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1" orientation="portrait" horizontalDpi="300" verticalDpi="300" r:id="rId2"/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B1:F60"/>
  <sheetViews>
    <sheetView workbookViewId="0">
      <selection activeCell="F15" sqref="B1:F15"/>
    </sheetView>
  </sheetViews>
  <sheetFormatPr baseColWidth="10" defaultRowHeight="15"/>
  <cols>
    <col min="1" max="1" width="2.7109375" customWidth="1"/>
    <col min="2" max="2" width="8.42578125" customWidth="1"/>
    <col min="3" max="3" width="9.42578125" customWidth="1"/>
    <col min="4" max="4" width="47.7109375" customWidth="1"/>
    <col min="5" max="5" width="16.140625" style="97" bestFit="1" customWidth="1"/>
    <col min="6" max="6" width="9.140625" style="97" bestFit="1" customWidth="1"/>
    <col min="7" max="7" width="9.140625" bestFit="1" customWidth="1"/>
    <col min="8" max="8" width="19.85546875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44574</v>
      </c>
      <c r="E5" s="147" t="s">
        <v>126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31" t="s">
        <v>106</v>
      </c>
      <c r="E7" s="131"/>
      <c r="F7" s="132"/>
    </row>
    <row r="8" spans="2:6">
      <c r="B8" s="133" t="s">
        <v>83</v>
      </c>
      <c r="C8" s="134"/>
      <c r="D8" s="135"/>
      <c r="E8" s="135"/>
      <c r="F8" s="136"/>
    </row>
    <row r="9" spans="2:6">
      <c r="B9" s="155" t="s">
        <v>84</v>
      </c>
      <c r="C9" s="156"/>
      <c r="D9" s="157" t="s">
        <v>85</v>
      </c>
      <c r="E9" s="157"/>
      <c r="F9" s="158"/>
    </row>
    <row r="10" spans="2:6">
      <c r="B10" s="120" t="s">
        <v>88</v>
      </c>
      <c r="C10" s="119"/>
      <c r="D10" s="119"/>
      <c r="E10" s="119"/>
      <c r="F10" s="124"/>
    </row>
    <row r="11" spans="2:6">
      <c r="B11" s="120" t="s">
        <v>0</v>
      </c>
      <c r="C11" s="120" t="s">
        <v>4</v>
      </c>
      <c r="D11" s="120" t="s">
        <v>1</v>
      </c>
      <c r="E11" s="120" t="s">
        <v>25</v>
      </c>
      <c r="F11" s="119" t="s">
        <v>78</v>
      </c>
    </row>
    <row r="12" spans="2:6">
      <c r="B12" s="119">
        <v>6</v>
      </c>
      <c r="C12" s="119">
        <v>5</v>
      </c>
      <c r="D12" s="119" t="s">
        <v>55</v>
      </c>
      <c r="E12" s="119">
        <v>150</v>
      </c>
      <c r="F12" s="124">
        <v>750</v>
      </c>
    </row>
    <row r="13" spans="2:6">
      <c r="B13" s="119">
        <v>11</v>
      </c>
      <c r="C13" s="119">
        <v>4</v>
      </c>
      <c r="D13" s="119" t="s">
        <v>44</v>
      </c>
      <c r="E13" s="119">
        <v>160</v>
      </c>
      <c r="F13" s="124">
        <v>640</v>
      </c>
    </row>
    <row r="14" spans="2:6">
      <c r="B14" s="119">
        <v>17</v>
      </c>
      <c r="C14" s="119">
        <v>5</v>
      </c>
      <c r="D14" s="119" t="s">
        <v>49</v>
      </c>
      <c r="E14" s="119">
        <v>38</v>
      </c>
      <c r="F14" s="124">
        <v>190</v>
      </c>
    </row>
    <row r="15" spans="2:6">
      <c r="B15" s="119" t="s">
        <v>76</v>
      </c>
      <c r="C15" s="119"/>
      <c r="D15" s="119"/>
      <c r="E15" s="119"/>
      <c r="F15" s="124">
        <v>1580</v>
      </c>
    </row>
    <row r="16" spans="2:6">
      <c r="E16"/>
      <c r="F16"/>
    </row>
    <row r="17" spans="5:6">
      <c r="E17"/>
      <c r="F17"/>
    </row>
    <row r="18" spans="5:6">
      <c r="E18"/>
      <c r="F18"/>
    </row>
    <row r="19" spans="5:6">
      <c r="E19"/>
      <c r="F19"/>
    </row>
    <row r="20" spans="5:6">
      <c r="E20"/>
      <c r="F20"/>
    </row>
    <row r="21" spans="5:6">
      <c r="E21"/>
      <c r="F21"/>
    </row>
    <row r="22" spans="5:6">
      <c r="E22"/>
      <c r="F22"/>
    </row>
    <row r="23" spans="5:6">
      <c r="E23"/>
      <c r="F23"/>
    </row>
    <row r="24" spans="5:6">
      <c r="E24"/>
      <c r="F24"/>
    </row>
    <row r="25" spans="5:6">
      <c r="E25"/>
      <c r="F25"/>
    </row>
    <row r="26" spans="5:6">
      <c r="E26"/>
      <c r="F26"/>
    </row>
    <row r="27" spans="5:6">
      <c r="E27"/>
      <c r="F27"/>
    </row>
    <row r="28" spans="5:6">
      <c r="E28"/>
      <c r="F28"/>
    </row>
    <row r="29" spans="5:6">
      <c r="E29"/>
      <c r="F29"/>
    </row>
    <row r="30" spans="5:6">
      <c r="E30"/>
      <c r="F30"/>
    </row>
    <row r="31" spans="5:6">
      <c r="E31"/>
      <c r="F31"/>
    </row>
    <row r="32" spans="5:6">
      <c r="E32"/>
      <c r="F32"/>
    </row>
    <row r="33" spans="5:6">
      <c r="E33"/>
      <c r="F33"/>
    </row>
    <row r="34" spans="5:6">
      <c r="E34"/>
      <c r="F34"/>
    </row>
    <row r="35" spans="5:6">
      <c r="E35"/>
      <c r="F35"/>
    </row>
    <row r="36" spans="5:6">
      <c r="E36"/>
      <c r="F36"/>
    </row>
    <row r="37" spans="5:6">
      <c r="E37"/>
      <c r="F37"/>
    </row>
    <row r="38" spans="5:6">
      <c r="E38"/>
      <c r="F38"/>
    </row>
    <row r="39" spans="5:6">
      <c r="E39"/>
      <c r="F39"/>
    </row>
    <row r="40" spans="5:6">
      <c r="E40"/>
      <c r="F40"/>
    </row>
    <row r="41" spans="5:6">
      <c r="E41"/>
      <c r="F41"/>
    </row>
    <row r="42" spans="5:6">
      <c r="E42"/>
      <c r="F42"/>
    </row>
    <row r="43" spans="5:6">
      <c r="E43"/>
      <c r="F43"/>
    </row>
    <row r="44" spans="5:6">
      <c r="E44"/>
      <c r="F44"/>
    </row>
    <row r="45" spans="5:6">
      <c r="E45"/>
      <c r="F45"/>
    </row>
    <row r="46" spans="5:6">
      <c r="E46"/>
      <c r="F46"/>
    </row>
    <row r="47" spans="5:6">
      <c r="E47"/>
      <c r="F47"/>
    </row>
    <row r="48" spans="5:6">
      <c r="E48"/>
      <c r="F48"/>
    </row>
    <row r="49" spans="5:6">
      <c r="E49"/>
      <c r="F49"/>
    </row>
    <row r="50" spans="5:6">
      <c r="E50"/>
      <c r="F50"/>
    </row>
    <row r="51" spans="5:6">
      <c r="E51"/>
      <c r="F51"/>
    </row>
    <row r="52" spans="5:6">
      <c r="E52"/>
      <c r="F52"/>
    </row>
    <row r="53" spans="5:6">
      <c r="E53"/>
      <c r="F53"/>
    </row>
    <row r="54" spans="5:6">
      <c r="E54"/>
      <c r="F54"/>
    </row>
    <row r="55" spans="5:6">
      <c r="E55"/>
      <c r="F55"/>
    </row>
    <row r="56" spans="5:6">
      <c r="E56"/>
      <c r="F56"/>
    </row>
    <row r="57" spans="5:6">
      <c r="E57"/>
      <c r="F57"/>
    </row>
    <row r="58" spans="5:6">
      <c r="E58"/>
      <c r="F58"/>
    </row>
    <row r="59" spans="5:6">
      <c r="E59"/>
      <c r="F59"/>
    </row>
    <row r="60" spans="5:6">
      <c r="E60"/>
      <c r="F60"/>
    </row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0" orientation="portrait" r:id="rId2"/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B1:F60"/>
  <sheetViews>
    <sheetView workbookViewId="0">
      <selection activeCell="F14" sqref="B1:F14"/>
    </sheetView>
  </sheetViews>
  <sheetFormatPr baseColWidth="10" defaultRowHeight="15"/>
  <cols>
    <col min="1" max="1" width="2.7109375" customWidth="1"/>
    <col min="2" max="2" width="8.42578125" customWidth="1"/>
    <col min="3" max="3" width="9.42578125" customWidth="1"/>
    <col min="4" max="4" width="47.7109375" customWidth="1"/>
    <col min="5" max="5" width="16.140625" style="97" bestFit="1" customWidth="1"/>
    <col min="6" max="6" width="7.5703125" style="97" bestFit="1" customWidth="1"/>
    <col min="7" max="7" width="7.140625" customWidth="1"/>
    <col min="8" max="8" width="20.7109375" bestFit="1" customWidth="1"/>
  </cols>
  <sheetData>
    <row r="1" spans="2:6">
      <c r="B1" s="141"/>
      <c r="C1" s="141"/>
      <c r="D1" s="142" t="s">
        <v>79</v>
      </c>
      <c r="E1" s="142"/>
      <c r="F1" s="142"/>
    </row>
    <row r="2" spans="2:6">
      <c r="B2" s="141"/>
      <c r="C2" s="141"/>
      <c r="D2" s="142"/>
      <c r="E2" s="142"/>
      <c r="F2" s="142"/>
    </row>
    <row r="3" spans="2:6">
      <c r="B3" s="141"/>
      <c r="C3" s="141"/>
      <c r="D3" s="143" t="s">
        <v>80</v>
      </c>
      <c r="E3" s="143"/>
      <c r="F3" s="143"/>
    </row>
    <row r="4" spans="2:6" ht="15.75" thickBot="1">
      <c r="B4" s="98"/>
      <c r="C4" s="98"/>
      <c r="D4" s="144" t="s">
        <v>81</v>
      </c>
      <c r="E4" s="144"/>
      <c r="F4" s="144"/>
    </row>
    <row r="5" spans="2:6">
      <c r="B5" s="98"/>
      <c r="C5" s="98"/>
      <c r="D5" s="145">
        <v>44575</v>
      </c>
      <c r="E5" s="147" t="s">
        <v>136</v>
      </c>
      <c r="F5" s="148"/>
    </row>
    <row r="6" spans="2:6" ht="15.75" thickBot="1">
      <c r="B6" s="98"/>
      <c r="C6" s="98"/>
      <c r="D6" s="146"/>
      <c r="E6" s="149"/>
      <c r="F6" s="150"/>
    </row>
    <row r="7" spans="2:6">
      <c r="B7" s="129" t="s">
        <v>82</v>
      </c>
      <c r="C7" s="130"/>
      <c r="D7" s="131" t="s">
        <v>106</v>
      </c>
      <c r="E7" s="131"/>
      <c r="F7" s="132"/>
    </row>
    <row r="8" spans="2:6">
      <c r="B8" s="133" t="s">
        <v>83</v>
      </c>
      <c r="C8" s="134"/>
      <c r="D8" s="135"/>
      <c r="E8" s="135"/>
      <c r="F8" s="136"/>
    </row>
    <row r="9" spans="2:6">
      <c r="B9" s="155" t="s">
        <v>84</v>
      </c>
      <c r="C9" s="156"/>
      <c r="D9" s="157" t="s">
        <v>85</v>
      </c>
      <c r="E9" s="157"/>
      <c r="F9" s="158"/>
    </row>
    <row r="10" spans="2:6">
      <c r="B10" s="120" t="s">
        <v>89</v>
      </c>
      <c r="C10" s="119"/>
      <c r="D10" s="119"/>
      <c r="E10" s="119"/>
      <c r="F10" s="124"/>
    </row>
    <row r="11" spans="2:6">
      <c r="B11" s="120" t="s">
        <v>0</v>
      </c>
      <c r="C11" s="120" t="s">
        <v>5</v>
      </c>
      <c r="D11" s="120" t="s">
        <v>1</v>
      </c>
      <c r="E11" s="120" t="s">
        <v>25</v>
      </c>
      <c r="F11" s="119" t="s">
        <v>78</v>
      </c>
    </row>
    <row r="12" spans="2:6">
      <c r="B12" s="119">
        <v>16</v>
      </c>
      <c r="C12" s="119">
        <v>5</v>
      </c>
      <c r="D12" s="119" t="s">
        <v>60</v>
      </c>
      <c r="E12" s="119">
        <v>130</v>
      </c>
      <c r="F12" s="124">
        <v>650</v>
      </c>
    </row>
    <row r="13" spans="2:6">
      <c r="B13" s="119">
        <v>17</v>
      </c>
      <c r="C13" s="119">
        <v>5</v>
      </c>
      <c r="D13" s="119" t="s">
        <v>49</v>
      </c>
      <c r="E13" s="119">
        <v>38</v>
      </c>
      <c r="F13" s="124">
        <v>190</v>
      </c>
    </row>
    <row r="14" spans="2:6">
      <c r="B14" s="119" t="s">
        <v>76</v>
      </c>
      <c r="C14" s="119"/>
      <c r="D14" s="119"/>
      <c r="E14" s="119"/>
      <c r="F14" s="124">
        <v>840</v>
      </c>
    </row>
    <row r="15" spans="2:6">
      <c r="E15"/>
      <c r="F15"/>
    </row>
    <row r="16" spans="2:6">
      <c r="E16"/>
      <c r="F16"/>
    </row>
    <row r="17" spans="5:6">
      <c r="E17"/>
      <c r="F17"/>
    </row>
    <row r="18" spans="5:6">
      <c r="E18"/>
      <c r="F18"/>
    </row>
    <row r="19" spans="5:6">
      <c r="E19"/>
      <c r="F19"/>
    </row>
    <row r="20" spans="5:6">
      <c r="E20"/>
      <c r="F20"/>
    </row>
    <row r="21" spans="5:6">
      <c r="E21"/>
      <c r="F21"/>
    </row>
    <row r="22" spans="5:6">
      <c r="E22"/>
      <c r="F22"/>
    </row>
    <row r="23" spans="5:6">
      <c r="E23"/>
      <c r="F23"/>
    </row>
    <row r="24" spans="5:6">
      <c r="E24"/>
      <c r="F24"/>
    </row>
    <row r="25" spans="5:6">
      <c r="E25"/>
      <c r="F25"/>
    </row>
    <row r="26" spans="5:6">
      <c r="E26"/>
      <c r="F26"/>
    </row>
    <row r="27" spans="5:6">
      <c r="E27"/>
      <c r="F27"/>
    </row>
    <row r="28" spans="5:6">
      <c r="E28"/>
      <c r="F28"/>
    </row>
    <row r="29" spans="5:6">
      <c r="E29"/>
      <c r="F29"/>
    </row>
    <row r="30" spans="5:6">
      <c r="E30"/>
      <c r="F30"/>
    </row>
    <row r="31" spans="5:6">
      <c r="E31"/>
      <c r="F31"/>
    </row>
    <row r="32" spans="5:6">
      <c r="E32"/>
      <c r="F32"/>
    </row>
    <row r="33" spans="5:6">
      <c r="E33"/>
      <c r="F33"/>
    </row>
    <row r="34" spans="5:6">
      <c r="E34"/>
      <c r="F34"/>
    </row>
    <row r="35" spans="5:6">
      <c r="E35"/>
      <c r="F35"/>
    </row>
    <row r="36" spans="5:6">
      <c r="E36"/>
      <c r="F36"/>
    </row>
    <row r="37" spans="5:6">
      <c r="E37"/>
      <c r="F37"/>
    </row>
    <row r="38" spans="5:6">
      <c r="E38"/>
      <c r="F38"/>
    </row>
    <row r="39" spans="5:6">
      <c r="E39"/>
      <c r="F39"/>
    </row>
    <row r="40" spans="5:6">
      <c r="E40"/>
      <c r="F40"/>
    </row>
    <row r="41" spans="5:6">
      <c r="E41"/>
      <c r="F41"/>
    </row>
    <row r="42" spans="5:6">
      <c r="E42"/>
      <c r="F42"/>
    </row>
    <row r="43" spans="5:6">
      <c r="E43"/>
      <c r="F43"/>
    </row>
    <row r="44" spans="5:6">
      <c r="E44"/>
      <c r="F44"/>
    </row>
    <row r="45" spans="5:6">
      <c r="E45"/>
      <c r="F45"/>
    </row>
    <row r="46" spans="5:6">
      <c r="E46"/>
      <c r="F46"/>
    </row>
    <row r="47" spans="5:6">
      <c r="E47"/>
      <c r="F47"/>
    </row>
    <row r="48" spans="5:6">
      <c r="E48"/>
      <c r="F48"/>
    </row>
    <row r="49" spans="5:6">
      <c r="E49"/>
      <c r="F49"/>
    </row>
    <row r="50" spans="5:6">
      <c r="E50"/>
      <c r="F50"/>
    </row>
    <row r="51" spans="5:6">
      <c r="E51"/>
      <c r="F51"/>
    </row>
    <row r="52" spans="5:6">
      <c r="E52"/>
      <c r="F52"/>
    </row>
    <row r="53" spans="5:6">
      <c r="E53"/>
      <c r="F53"/>
    </row>
    <row r="54" spans="5:6">
      <c r="E54"/>
      <c r="F54"/>
    </row>
    <row r="55" spans="5:6">
      <c r="E55"/>
      <c r="F55"/>
    </row>
    <row r="56" spans="5:6">
      <c r="E56"/>
      <c r="F56"/>
    </row>
    <row r="57" spans="5:6">
      <c r="E57"/>
      <c r="F57"/>
    </row>
    <row r="58" spans="5:6">
      <c r="E58"/>
      <c r="F58"/>
    </row>
    <row r="59" spans="5:6">
      <c r="E59"/>
      <c r="F59"/>
    </row>
    <row r="60" spans="5:6">
      <c r="E60"/>
      <c r="F60"/>
    </row>
  </sheetData>
  <mergeCells count="12">
    <mergeCell ref="B1:C3"/>
    <mergeCell ref="D1:F2"/>
    <mergeCell ref="D3:F3"/>
    <mergeCell ref="D4:F4"/>
    <mergeCell ref="D5:D6"/>
    <mergeCell ref="E5:F6"/>
    <mergeCell ref="B7:C7"/>
    <mergeCell ref="D7:F7"/>
    <mergeCell ref="B8:C8"/>
    <mergeCell ref="D8:F8"/>
    <mergeCell ref="B9:C9"/>
    <mergeCell ref="D9:F9"/>
  </mergeCells>
  <pageMargins left="0.25" right="0.25" top="0.75" bottom="0.75" header="0.3" footer="0.3"/>
  <pageSetup paperSize="70" scale="51" orientation="portrait" horizontalDpi="300" verticalDpi="300" r:id="rId2"/>
  <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1">
    <pageSetUpPr fitToPage="1"/>
  </sheetPr>
  <dimension ref="A1:AK74"/>
  <sheetViews>
    <sheetView topLeftCell="A2" zoomScale="141" zoomScaleNormal="70" workbookViewId="0">
      <selection activeCell="D40" sqref="D40"/>
    </sheetView>
  </sheetViews>
  <sheetFormatPr baseColWidth="10" defaultRowHeight="15"/>
  <cols>
    <col min="1" max="1" width="2.7109375" customWidth="1"/>
    <col min="2" max="2" width="23" customWidth="1"/>
    <col min="3" max="9" width="4.7109375" customWidth="1"/>
    <col min="10" max="10" width="9" customWidth="1"/>
    <col min="11" max="11" width="7.7109375" style="67" customWidth="1"/>
    <col min="12" max="12" width="7.7109375" style="6" customWidth="1"/>
    <col min="13" max="13" width="7.7109375" style="67" customWidth="1"/>
    <col min="14" max="14" width="7.7109375" style="6" customWidth="1"/>
    <col min="15" max="15" width="7.7109375" style="67" customWidth="1"/>
    <col min="16" max="16" width="7.7109375" style="6" customWidth="1"/>
    <col min="17" max="17" width="7.7109375" style="67" customWidth="1"/>
    <col min="18" max="18" width="7.7109375" style="6" customWidth="1"/>
    <col min="19" max="19" width="7.7109375" style="67" customWidth="1"/>
    <col min="20" max="20" width="7.7109375" style="6" customWidth="1"/>
    <col min="21" max="21" width="7.7109375" style="67" customWidth="1"/>
    <col min="22" max="22" width="7.7109375" style="6" customWidth="1"/>
    <col min="23" max="23" width="7.7109375" style="67" customWidth="1"/>
    <col min="24" max="24" width="7.7109375" style="6" customWidth="1"/>
  </cols>
  <sheetData>
    <row r="1" spans="1:37" ht="24.75">
      <c r="A1" s="58"/>
      <c r="B1" s="58"/>
      <c r="C1" s="59" t="str">
        <f>('ORDENES '!L1)</f>
        <v>11-17 enero</v>
      </c>
      <c r="D1" s="58"/>
      <c r="E1" s="58"/>
      <c r="F1" s="58"/>
      <c r="G1" s="58"/>
      <c r="H1" s="58"/>
      <c r="I1" s="58"/>
      <c r="J1" s="58"/>
      <c r="K1" s="63"/>
      <c r="L1" s="58"/>
      <c r="M1" s="63"/>
      <c r="N1" s="58"/>
      <c r="O1" s="63"/>
      <c r="P1" s="58"/>
      <c r="Q1" s="63"/>
      <c r="R1" s="58"/>
      <c r="S1" s="63"/>
      <c r="T1" s="58"/>
      <c r="U1" s="63"/>
      <c r="V1" s="58"/>
      <c r="W1" s="63"/>
      <c r="X1" s="58"/>
      <c r="Y1" s="58"/>
      <c r="Z1" s="58"/>
      <c r="AA1" s="58"/>
      <c r="AB1" s="58"/>
      <c r="AC1" s="58"/>
      <c r="AD1" s="58"/>
      <c r="AE1" s="58"/>
      <c r="AF1" s="58"/>
      <c r="AG1" s="58"/>
    </row>
    <row r="2" spans="1:37" ht="24.75">
      <c r="A2" s="57"/>
      <c r="B2" s="57"/>
      <c r="C2" s="57"/>
      <c r="D2" s="57"/>
      <c r="E2" s="57"/>
      <c r="F2" s="57"/>
      <c r="G2" s="57"/>
      <c r="H2" s="57"/>
      <c r="I2" s="57"/>
      <c r="J2" s="57" t="s">
        <v>43</v>
      </c>
      <c r="K2" s="64"/>
      <c r="L2" s="57"/>
      <c r="M2" s="64"/>
      <c r="N2" s="57"/>
      <c r="O2" s="64"/>
      <c r="P2" s="57"/>
      <c r="Q2" s="64"/>
      <c r="R2" s="57"/>
      <c r="S2" s="64"/>
      <c r="T2" s="57"/>
      <c r="U2" s="64"/>
      <c r="V2" s="57"/>
      <c r="W2" s="64"/>
      <c r="X2" s="57"/>
      <c r="Y2" s="57"/>
      <c r="Z2" s="57"/>
      <c r="AA2" s="57"/>
      <c r="AB2" s="57"/>
      <c r="AC2" s="57"/>
      <c r="AE2" s="21"/>
      <c r="AF2" s="21"/>
      <c r="AG2" s="21"/>
    </row>
    <row r="3" spans="1:37">
      <c r="A3" s="7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65" t="s">
        <v>10</v>
      </c>
      <c r="L3" s="4" t="s">
        <v>11</v>
      </c>
      <c r="M3" s="65" t="s">
        <v>12</v>
      </c>
      <c r="N3" s="4" t="s">
        <v>13</v>
      </c>
      <c r="O3" s="65" t="s">
        <v>14</v>
      </c>
      <c r="P3" s="4" t="s">
        <v>15</v>
      </c>
      <c r="Q3" s="65" t="s">
        <v>16</v>
      </c>
      <c r="R3" s="4" t="s">
        <v>17</v>
      </c>
      <c r="S3" s="65" t="s">
        <v>18</v>
      </c>
      <c r="T3" s="4" t="s">
        <v>19</v>
      </c>
      <c r="U3" s="65" t="s">
        <v>20</v>
      </c>
      <c r="V3" s="4" t="s">
        <v>21</v>
      </c>
      <c r="W3" s="65" t="s">
        <v>22</v>
      </c>
      <c r="X3" s="4" t="s">
        <v>23</v>
      </c>
      <c r="Y3" s="8" t="s">
        <v>24</v>
      </c>
      <c r="Z3" s="8" t="s">
        <v>25</v>
      </c>
      <c r="AA3" s="8" t="s">
        <v>26</v>
      </c>
      <c r="AB3" s="8" t="s">
        <v>27</v>
      </c>
      <c r="AC3" s="4" t="s">
        <v>28</v>
      </c>
      <c r="AD3" s="3"/>
      <c r="AE3" s="159"/>
      <c r="AF3" s="159"/>
      <c r="AG3" s="159"/>
      <c r="AH3" s="2"/>
      <c r="AI3" s="2"/>
      <c r="AJ3" s="2"/>
      <c r="AK3" s="2"/>
    </row>
    <row r="4" spans="1:37">
      <c r="A4" s="1">
        <v>1</v>
      </c>
      <c r="B4" s="70" t="str">
        <f>(PRECIOS!B4)</f>
        <v>CHULETA DE CERDO</v>
      </c>
      <c r="C4" s="93">
        <f>SUM('ORDENES '!D3)</f>
        <v>0</v>
      </c>
      <c r="D4" s="94">
        <f>SUM('ORDENES '!E3)</f>
        <v>0</v>
      </c>
      <c r="E4" s="93">
        <f>SUM('ORDENES '!F3)</f>
        <v>0</v>
      </c>
      <c r="F4" s="94">
        <f>SUM('ORDENES '!G3)</f>
        <v>0</v>
      </c>
      <c r="G4" s="93">
        <f>SUM('ORDENES '!H3)</f>
        <v>0</v>
      </c>
      <c r="H4" s="94">
        <f>SUM('ORDENES '!I3)</f>
        <v>0</v>
      </c>
      <c r="I4" s="93">
        <f>SUM('ORDENES '!J3)</f>
        <v>0</v>
      </c>
      <c r="J4" s="9">
        <f>SUM(C4:I4)</f>
        <v>0</v>
      </c>
      <c r="K4" s="66">
        <f t="shared" ref="K4:K26" si="0">SUM(C4*Y4)</f>
        <v>0</v>
      </c>
      <c r="L4" s="5">
        <f>SUM(C4*Z4)</f>
        <v>0</v>
      </c>
      <c r="M4" s="66">
        <f>SUM(D4*Y4)</f>
        <v>0</v>
      </c>
      <c r="N4" s="5">
        <f>SUM(D4*Z4)</f>
        <v>0</v>
      </c>
      <c r="O4" s="66">
        <f>SUM(E4*Y4)</f>
        <v>0</v>
      </c>
      <c r="P4" s="5">
        <f>SUM(E4*Z4)</f>
        <v>0</v>
      </c>
      <c r="Q4" s="66">
        <f>SUM(F4*Y4)</f>
        <v>0</v>
      </c>
      <c r="R4" s="5">
        <f>SUM(F4*Z4)</f>
        <v>0</v>
      </c>
      <c r="S4" s="66">
        <f>SUM(G4*Y4)</f>
        <v>0</v>
      </c>
      <c r="T4" s="5">
        <f>SUM(G4*Z4)</f>
        <v>0</v>
      </c>
      <c r="U4" s="66">
        <f>SUM(H4*Y4)</f>
        <v>0</v>
      </c>
      <c r="V4" s="5">
        <f>SUM(H4*Z4)</f>
        <v>0</v>
      </c>
      <c r="W4" s="66">
        <f>SUM(I4*Y4)</f>
        <v>0</v>
      </c>
      <c r="X4" s="5">
        <f>SUM(I4*Z4)</f>
        <v>0</v>
      </c>
      <c r="Y4" s="10">
        <f>SUM(PRECIOS!C4)</f>
        <v>89</v>
      </c>
      <c r="Z4" s="11">
        <f>SUM(PRECIOS!D4)</f>
        <v>89</v>
      </c>
      <c r="AA4" s="20">
        <f t="shared" ref="AA4:AA28" si="1">Y4*J4</f>
        <v>0</v>
      </c>
      <c r="AB4" s="12">
        <f t="shared" ref="AB4:AB28" si="2">Z4*J4</f>
        <v>0</v>
      </c>
      <c r="AC4" s="13">
        <f t="shared" ref="AC4:AC28" si="3">AB4-AA4</f>
        <v>0</v>
      </c>
      <c r="AD4" s="3"/>
      <c r="AE4" s="22"/>
      <c r="AF4" s="22"/>
      <c r="AG4" s="23"/>
      <c r="AH4" s="2"/>
      <c r="AI4" s="2"/>
      <c r="AJ4" s="2"/>
      <c r="AK4" s="2"/>
    </row>
    <row r="5" spans="1:37">
      <c r="A5" s="1">
        <v>2</v>
      </c>
      <c r="B5" s="70" t="str">
        <f>(PRECIOS!B5)</f>
        <v>LOMO DE CERDO</v>
      </c>
      <c r="C5" s="93">
        <f>SUM('ORDENES '!D4)</f>
        <v>0</v>
      </c>
      <c r="D5" s="94">
        <f>SUM('ORDENES '!E4)</f>
        <v>0</v>
      </c>
      <c r="E5" s="93">
        <f>SUM('ORDENES '!F4)</f>
        <v>0</v>
      </c>
      <c r="F5" s="94">
        <f>SUM('ORDENES '!G4)</f>
        <v>12</v>
      </c>
      <c r="G5" s="93">
        <f>SUM('ORDENES '!H4)</f>
        <v>0</v>
      </c>
      <c r="H5" s="94">
        <f>SUM('ORDENES '!I4)</f>
        <v>0</v>
      </c>
      <c r="I5" s="93">
        <f>SUM('ORDENES '!J4)</f>
        <v>14.4</v>
      </c>
      <c r="J5" s="9">
        <f t="shared" ref="J5:J28" si="4">SUM(C5:I5)</f>
        <v>26.4</v>
      </c>
      <c r="K5" s="66">
        <f t="shared" si="0"/>
        <v>0</v>
      </c>
      <c r="L5" s="5">
        <f t="shared" ref="L5:L28" si="5">SUM(C5*Z5)</f>
        <v>0</v>
      </c>
      <c r="M5" s="66">
        <f t="shared" ref="M5:M28" si="6">SUM(D5*Y5)</f>
        <v>0</v>
      </c>
      <c r="N5" s="5">
        <f t="shared" ref="N5:N28" si="7">SUM(D5*Z5)</f>
        <v>0</v>
      </c>
      <c r="O5" s="66">
        <f t="shared" ref="O5:O28" si="8">SUM(E5*Y5)</f>
        <v>0</v>
      </c>
      <c r="P5" s="5">
        <f t="shared" ref="P5:P28" si="9">SUM(E5*Z5)</f>
        <v>0</v>
      </c>
      <c r="Q5" s="66">
        <f t="shared" ref="Q5:Q28" si="10">SUM(F5*Y5)</f>
        <v>600</v>
      </c>
      <c r="R5" s="5">
        <f t="shared" ref="R5:R28" si="11">SUM(F5*Z5)</f>
        <v>1140</v>
      </c>
      <c r="S5" s="66">
        <f t="shared" ref="S5:S28" si="12">SUM(G5*Y5)</f>
        <v>0</v>
      </c>
      <c r="T5" s="5">
        <f t="shared" ref="T5:T28" si="13">SUM(G5*Z5)</f>
        <v>0</v>
      </c>
      <c r="U5" s="66">
        <f t="shared" ref="U5:U28" si="14">SUM(H5*Y5)</f>
        <v>0</v>
      </c>
      <c r="V5" s="5">
        <f t="shared" ref="V5:V28" si="15">SUM(H5*Z5)</f>
        <v>0</v>
      </c>
      <c r="W5" s="66">
        <f t="shared" ref="W5:W28" si="16">SUM(I5*Y5)</f>
        <v>720</v>
      </c>
      <c r="X5" s="5">
        <f t="shared" ref="X5:X28" si="17">SUM(I5*Z5)</f>
        <v>1368</v>
      </c>
      <c r="Y5" s="10">
        <f>SUM(PRECIOS!C5)</f>
        <v>50</v>
      </c>
      <c r="Z5" s="11">
        <f>SUM(PRECIOS!D5)</f>
        <v>95</v>
      </c>
      <c r="AA5" s="20">
        <f t="shared" si="1"/>
        <v>1320</v>
      </c>
      <c r="AB5" s="12">
        <f t="shared" si="2"/>
        <v>2508</v>
      </c>
      <c r="AC5" s="13">
        <f t="shared" si="3"/>
        <v>1188</v>
      </c>
      <c r="AD5" s="3"/>
      <c r="AE5" s="24"/>
      <c r="AF5" s="25"/>
      <c r="AG5" s="25"/>
      <c r="AH5" s="2"/>
      <c r="AI5" s="2"/>
      <c r="AJ5" s="2"/>
      <c r="AK5" s="2"/>
    </row>
    <row r="6" spans="1:37">
      <c r="A6" s="1">
        <v>3</v>
      </c>
      <c r="B6" s="70" t="str">
        <f>(PRECIOS!B6)</f>
        <v>PIERNA DE CERDO EN TROZO</v>
      </c>
      <c r="C6" s="93">
        <f>SUM('ORDENES '!D5)</f>
        <v>0</v>
      </c>
      <c r="D6" s="94">
        <f>SUM('ORDENES '!E5)</f>
        <v>0</v>
      </c>
      <c r="E6" s="93">
        <f>SUM('ORDENES '!F5)</f>
        <v>14.4</v>
      </c>
      <c r="F6" s="94">
        <f>SUM('ORDENES '!G5)</f>
        <v>0</v>
      </c>
      <c r="G6" s="93">
        <f>SUM('ORDENES '!H5)</f>
        <v>14.4</v>
      </c>
      <c r="H6" s="94">
        <f>SUM('ORDENES '!I5)</f>
        <v>12</v>
      </c>
      <c r="I6" s="93">
        <f>SUM('ORDENES '!J5)</f>
        <v>0</v>
      </c>
      <c r="J6" s="9">
        <f t="shared" si="4"/>
        <v>40.799999999999997</v>
      </c>
      <c r="K6" s="66">
        <f t="shared" si="0"/>
        <v>0</v>
      </c>
      <c r="L6" s="5">
        <f t="shared" si="5"/>
        <v>0</v>
      </c>
      <c r="M6" s="66">
        <f t="shared" si="6"/>
        <v>0</v>
      </c>
      <c r="N6" s="5">
        <f t="shared" si="7"/>
        <v>0</v>
      </c>
      <c r="O6" s="66">
        <f t="shared" si="8"/>
        <v>921.6</v>
      </c>
      <c r="P6" s="5">
        <f t="shared" si="9"/>
        <v>1180.8</v>
      </c>
      <c r="Q6" s="66">
        <f t="shared" si="10"/>
        <v>0</v>
      </c>
      <c r="R6" s="5">
        <f t="shared" si="11"/>
        <v>0</v>
      </c>
      <c r="S6" s="66">
        <f t="shared" si="12"/>
        <v>921.6</v>
      </c>
      <c r="T6" s="5">
        <f t="shared" si="13"/>
        <v>1180.8</v>
      </c>
      <c r="U6" s="66">
        <f t="shared" si="14"/>
        <v>768</v>
      </c>
      <c r="V6" s="5">
        <f t="shared" si="15"/>
        <v>984</v>
      </c>
      <c r="W6" s="66">
        <f t="shared" si="16"/>
        <v>0</v>
      </c>
      <c r="X6" s="5">
        <f t="shared" si="17"/>
        <v>0</v>
      </c>
      <c r="Y6" s="10">
        <f>SUM(PRECIOS!C6)</f>
        <v>64</v>
      </c>
      <c r="Z6" s="11">
        <f>SUM(PRECIOS!D6)</f>
        <v>82</v>
      </c>
      <c r="AA6" s="20">
        <f t="shared" si="1"/>
        <v>2611.1999999999998</v>
      </c>
      <c r="AB6" s="12">
        <f t="shared" si="2"/>
        <v>3345.6</v>
      </c>
      <c r="AC6" s="13">
        <f t="shared" si="3"/>
        <v>734.40000000000009</v>
      </c>
      <c r="AD6" s="3"/>
      <c r="AE6" s="24"/>
      <c r="AF6" s="26"/>
      <c r="AG6" s="26"/>
      <c r="AH6" s="2"/>
      <c r="AI6" s="2"/>
      <c r="AJ6" s="2"/>
      <c r="AK6" s="2"/>
    </row>
    <row r="7" spans="1:37">
      <c r="A7" s="1">
        <v>4</v>
      </c>
      <c r="B7" s="70" t="str">
        <f>(PRECIOS!B7)</f>
        <v>PIERNA DE CERDO MOLIDA</v>
      </c>
      <c r="C7" s="93">
        <f>SUM('ORDENES '!D6)</f>
        <v>0</v>
      </c>
      <c r="D7" s="94">
        <f>SUM('ORDENES '!E6)</f>
        <v>0</v>
      </c>
      <c r="E7" s="93">
        <f>SUM('ORDENES '!F6)</f>
        <v>0</v>
      </c>
      <c r="F7" s="94">
        <f>SUM('ORDENES '!G6)</f>
        <v>0</v>
      </c>
      <c r="G7" s="93">
        <f>SUM('ORDENES '!H6)</f>
        <v>0</v>
      </c>
      <c r="H7" s="94">
        <f>SUM('ORDENES '!I6)</f>
        <v>0</v>
      </c>
      <c r="I7" s="93">
        <f>SUM('ORDENES '!J6)</f>
        <v>0</v>
      </c>
      <c r="J7" s="9">
        <f t="shared" si="4"/>
        <v>0</v>
      </c>
      <c r="K7" s="66">
        <f t="shared" si="0"/>
        <v>0</v>
      </c>
      <c r="L7" s="5">
        <f t="shared" si="5"/>
        <v>0</v>
      </c>
      <c r="M7" s="66">
        <f t="shared" si="6"/>
        <v>0</v>
      </c>
      <c r="N7" s="5">
        <f t="shared" si="7"/>
        <v>0</v>
      </c>
      <c r="O7" s="66">
        <f t="shared" si="8"/>
        <v>0</v>
      </c>
      <c r="P7" s="5">
        <f t="shared" si="9"/>
        <v>0</v>
      </c>
      <c r="Q7" s="66">
        <f t="shared" si="10"/>
        <v>0</v>
      </c>
      <c r="R7" s="5">
        <f t="shared" si="11"/>
        <v>0</v>
      </c>
      <c r="S7" s="66">
        <f t="shared" si="12"/>
        <v>0</v>
      </c>
      <c r="T7" s="5">
        <f t="shared" si="13"/>
        <v>0</v>
      </c>
      <c r="U7" s="66">
        <f t="shared" si="14"/>
        <v>0</v>
      </c>
      <c r="V7" s="5">
        <f t="shared" si="15"/>
        <v>0</v>
      </c>
      <c r="W7" s="66">
        <f t="shared" si="16"/>
        <v>0</v>
      </c>
      <c r="X7" s="5">
        <f t="shared" si="17"/>
        <v>0</v>
      </c>
      <c r="Y7" s="10">
        <f>SUM(PRECIOS!C7)</f>
        <v>50</v>
      </c>
      <c r="Z7" s="11">
        <f>SUM(PRECIOS!D7)</f>
        <v>60</v>
      </c>
      <c r="AA7" s="20">
        <f t="shared" si="1"/>
        <v>0</v>
      </c>
      <c r="AB7" s="12">
        <f t="shared" si="2"/>
        <v>0</v>
      </c>
      <c r="AC7" s="13">
        <f t="shared" si="3"/>
        <v>0</v>
      </c>
      <c r="AD7" s="3"/>
      <c r="AE7" s="16"/>
      <c r="AF7" s="3"/>
      <c r="AG7" s="3"/>
      <c r="AH7" s="2"/>
      <c r="AI7" s="2"/>
      <c r="AJ7" s="2"/>
      <c r="AK7" s="2"/>
    </row>
    <row r="8" spans="1:37">
      <c r="A8" s="1">
        <v>5</v>
      </c>
      <c r="B8" s="70" t="str">
        <f>(PRECIOS!B8)</f>
        <v>MERO EN FILETE CONGELADO</v>
      </c>
      <c r="C8" s="93">
        <f>SUM('ORDENES '!D7)</f>
        <v>0</v>
      </c>
      <c r="D8" s="94">
        <f>SUM('ORDENES '!E7)</f>
        <v>0</v>
      </c>
      <c r="E8" s="93">
        <f>SUM('ORDENES '!F7)</f>
        <v>0</v>
      </c>
      <c r="F8" s="94">
        <f>SUM('ORDENES '!G7)</f>
        <v>0</v>
      </c>
      <c r="G8" s="93">
        <f>SUM('ORDENES '!H7)</f>
        <v>0</v>
      </c>
      <c r="H8" s="94">
        <f>SUM('ORDENES '!I7)</f>
        <v>65</v>
      </c>
      <c r="I8" s="93">
        <f>SUM('ORDENES '!J7)</f>
        <v>0</v>
      </c>
      <c r="J8" s="9">
        <f t="shared" si="4"/>
        <v>65</v>
      </c>
      <c r="K8" s="66">
        <f t="shared" si="0"/>
        <v>0</v>
      </c>
      <c r="L8" s="5">
        <f t="shared" si="5"/>
        <v>0</v>
      </c>
      <c r="M8" s="66">
        <f t="shared" si="6"/>
        <v>0</v>
      </c>
      <c r="N8" s="5">
        <f t="shared" si="7"/>
        <v>0</v>
      </c>
      <c r="O8" s="66">
        <f t="shared" si="8"/>
        <v>0</v>
      </c>
      <c r="P8" s="5">
        <f t="shared" si="9"/>
        <v>0</v>
      </c>
      <c r="Q8" s="66">
        <f t="shared" si="10"/>
        <v>0</v>
      </c>
      <c r="R8" s="5">
        <f t="shared" si="11"/>
        <v>0</v>
      </c>
      <c r="S8" s="66">
        <f t="shared" si="12"/>
        <v>0</v>
      </c>
      <c r="T8" s="5">
        <f t="shared" si="13"/>
        <v>0</v>
      </c>
      <c r="U8" s="66">
        <f t="shared" si="14"/>
        <v>3698.5</v>
      </c>
      <c r="V8" s="5">
        <f t="shared" si="15"/>
        <v>5850</v>
      </c>
      <c r="W8" s="66">
        <f t="shared" si="16"/>
        <v>0</v>
      </c>
      <c r="X8" s="5">
        <f t="shared" si="17"/>
        <v>0</v>
      </c>
      <c r="Y8" s="10">
        <f>SUM(PRECIOS!C8)</f>
        <v>56.9</v>
      </c>
      <c r="Z8" s="11">
        <f>SUM(PRECIOS!D8)</f>
        <v>90</v>
      </c>
      <c r="AA8" s="20">
        <f t="shared" si="1"/>
        <v>3698.5</v>
      </c>
      <c r="AB8" s="12">
        <f t="shared" si="2"/>
        <v>5850</v>
      </c>
      <c r="AC8" s="13">
        <f t="shared" si="3"/>
        <v>2151.5</v>
      </c>
      <c r="AD8" s="3"/>
      <c r="AE8" s="17"/>
      <c r="AF8" s="3"/>
      <c r="AG8" s="3"/>
      <c r="AH8" s="2"/>
      <c r="AI8" s="2"/>
      <c r="AJ8" s="2"/>
      <c r="AK8" s="2"/>
    </row>
    <row r="9" spans="1:37">
      <c r="A9" s="1">
        <v>6</v>
      </c>
      <c r="B9" s="70" t="str">
        <f>(PRECIOS!B9)</f>
        <v xml:space="preserve">PECHUGA DE POLLO </v>
      </c>
      <c r="C9" s="93">
        <f>SUM('ORDENES '!D8)</f>
        <v>0</v>
      </c>
      <c r="D9" s="94">
        <f>SUM('ORDENES '!E8)</f>
        <v>0</v>
      </c>
      <c r="E9" s="93">
        <f>SUM('ORDENES '!F8)</f>
        <v>0</v>
      </c>
      <c r="F9" s="94">
        <f>SUM('ORDENES '!G8)</f>
        <v>0</v>
      </c>
      <c r="G9" s="93">
        <f>SUM('ORDENES '!H8)</f>
        <v>0</v>
      </c>
      <c r="H9" s="94">
        <f>SUM('ORDENES '!I8)</f>
        <v>0</v>
      </c>
      <c r="I9" s="93">
        <f>SUM('ORDENES '!J8)</f>
        <v>0</v>
      </c>
      <c r="J9" s="9">
        <f t="shared" ref="J9" si="18">SUM(C9:I9)</f>
        <v>0</v>
      </c>
      <c r="K9" s="66">
        <f t="shared" ref="K9" si="19">SUM(C9*Y9)</f>
        <v>0</v>
      </c>
      <c r="L9" s="5">
        <f t="shared" ref="L9" si="20">SUM(C9*Z9)</f>
        <v>0</v>
      </c>
      <c r="M9" s="66">
        <f t="shared" ref="M9" si="21">SUM(D9*Y9)</f>
        <v>0</v>
      </c>
      <c r="N9" s="5">
        <f t="shared" ref="N9" si="22">SUM(D9*Z9)</f>
        <v>0</v>
      </c>
      <c r="O9" s="66">
        <f t="shared" ref="O9" si="23">SUM(E9*Y9)</f>
        <v>0</v>
      </c>
      <c r="P9" s="5">
        <f t="shared" ref="P9" si="24">SUM(E9*Z9)</f>
        <v>0</v>
      </c>
      <c r="Q9" s="66">
        <f t="shared" ref="Q9" si="25">SUM(F9*Y9)</f>
        <v>0</v>
      </c>
      <c r="R9" s="5">
        <f t="shared" ref="R9" si="26">SUM(F9*Z9)</f>
        <v>0</v>
      </c>
      <c r="S9" s="66">
        <f t="shared" ref="S9" si="27">SUM(G9*Y9)</f>
        <v>0</v>
      </c>
      <c r="T9" s="5">
        <f t="shared" ref="T9" si="28">SUM(G9*Z9)</f>
        <v>0</v>
      </c>
      <c r="U9" s="66">
        <f t="shared" ref="U9" si="29">SUM(H9*Y9)</f>
        <v>0</v>
      </c>
      <c r="V9" s="5">
        <f t="shared" ref="V9" si="30">SUM(H9*Z9)</f>
        <v>0</v>
      </c>
      <c r="W9" s="66">
        <f t="shared" ref="W9" si="31">SUM(I9*Y9)</f>
        <v>0</v>
      </c>
      <c r="X9" s="5">
        <f t="shared" ref="X9" si="32">SUM(I9*Z9)</f>
        <v>0</v>
      </c>
      <c r="Y9" s="10">
        <f>SUM(PRECIOS!C9)</f>
        <v>0</v>
      </c>
      <c r="Z9" s="11">
        <f>SUM(PRECIOS!D9)</f>
        <v>98</v>
      </c>
      <c r="AA9" s="20">
        <f t="shared" ref="AA9" si="33">Y9*J9</f>
        <v>0</v>
      </c>
      <c r="AB9" s="12">
        <f t="shared" ref="AB9" si="34">Z9*J9</f>
        <v>0</v>
      </c>
      <c r="AC9" s="13">
        <f t="shared" ref="AC9" si="35">AB9-AA9</f>
        <v>0</v>
      </c>
      <c r="AD9" s="3"/>
      <c r="AE9" s="17"/>
      <c r="AF9" s="3"/>
      <c r="AG9" s="3"/>
      <c r="AH9" s="2"/>
      <c r="AI9" s="2"/>
      <c r="AJ9" s="2"/>
      <c r="AK9" s="2"/>
    </row>
    <row r="10" spans="1:37" ht="18">
      <c r="A10" s="1">
        <v>7</v>
      </c>
      <c r="B10" s="70" t="str">
        <f>(PRECIOS!B10)</f>
        <v>PECHUGA DE POLLO DESHUESADA</v>
      </c>
      <c r="C10" s="93">
        <f>SUM('ORDENES '!D9)</f>
        <v>11.48</v>
      </c>
      <c r="D10" s="94">
        <f>SUM('ORDENES '!E9)</f>
        <v>20.079999999999998</v>
      </c>
      <c r="E10" s="93">
        <f>SUM('ORDENES '!F9)</f>
        <v>0.72</v>
      </c>
      <c r="F10" s="94">
        <f>SUM('ORDENES '!G9)</f>
        <v>13.23</v>
      </c>
      <c r="G10" s="93">
        <f>SUM('ORDENES '!H9)</f>
        <v>25.35</v>
      </c>
      <c r="H10" s="94">
        <f>SUM('ORDENES '!I9)</f>
        <v>3.96</v>
      </c>
      <c r="I10" s="93">
        <f>SUM('ORDENES '!J9)</f>
        <v>31.55</v>
      </c>
      <c r="J10" s="9">
        <f t="shared" si="4"/>
        <v>106.37</v>
      </c>
      <c r="K10" s="66">
        <f t="shared" si="0"/>
        <v>847.22400000000005</v>
      </c>
      <c r="L10" s="5">
        <f t="shared" si="5"/>
        <v>1722</v>
      </c>
      <c r="M10" s="66">
        <f t="shared" si="6"/>
        <v>1481.9039999999998</v>
      </c>
      <c r="N10" s="5">
        <f t="shared" si="7"/>
        <v>3011.9999999999995</v>
      </c>
      <c r="O10" s="66">
        <f t="shared" si="8"/>
        <v>53.135999999999996</v>
      </c>
      <c r="P10" s="5">
        <f t="shared" si="9"/>
        <v>108</v>
      </c>
      <c r="Q10" s="66">
        <f t="shared" si="10"/>
        <v>976.37400000000002</v>
      </c>
      <c r="R10" s="5">
        <f t="shared" si="11"/>
        <v>1984.5</v>
      </c>
      <c r="S10" s="66">
        <f t="shared" si="12"/>
        <v>1870.83</v>
      </c>
      <c r="T10" s="5">
        <f t="shared" si="13"/>
        <v>3802.5</v>
      </c>
      <c r="U10" s="66">
        <f t="shared" si="14"/>
        <v>292.24799999999999</v>
      </c>
      <c r="V10" s="5">
        <f t="shared" si="15"/>
        <v>594</v>
      </c>
      <c r="W10" s="66">
        <f t="shared" si="16"/>
        <v>2328.39</v>
      </c>
      <c r="X10" s="5">
        <f t="shared" si="17"/>
        <v>4732.5</v>
      </c>
      <c r="Y10" s="10">
        <f>SUM(PRECIOS!C10)</f>
        <v>73.8</v>
      </c>
      <c r="Z10" s="11">
        <f>SUM(PRECIOS!D10)</f>
        <v>150</v>
      </c>
      <c r="AA10" s="20">
        <f t="shared" si="1"/>
        <v>7850.1059999999998</v>
      </c>
      <c r="AB10" s="12">
        <f t="shared" si="2"/>
        <v>15955.5</v>
      </c>
      <c r="AC10" s="13">
        <f t="shared" si="3"/>
        <v>8105.3940000000002</v>
      </c>
      <c r="AD10" s="3"/>
      <c r="AE10" s="17"/>
      <c r="AF10" s="3"/>
      <c r="AG10" s="3"/>
      <c r="AH10" s="2"/>
      <c r="AI10" s="2"/>
      <c r="AJ10" s="2"/>
      <c r="AK10" s="2"/>
    </row>
    <row r="11" spans="1:37" ht="18">
      <c r="A11" s="1">
        <v>8</v>
      </c>
      <c r="B11" s="70" t="str">
        <f>(PRECIOS!B11)</f>
        <v>PECHUGA  DESHUESADA EN BISTEC</v>
      </c>
      <c r="C11" s="93">
        <f>SUM('ORDENES '!D10)</f>
        <v>0.96</v>
      </c>
      <c r="D11" s="94">
        <f>SUM('ORDENES '!E10)</f>
        <v>3.6</v>
      </c>
      <c r="E11" s="93">
        <f>SUM('ORDENES '!F10)</f>
        <v>17.399999999999999</v>
      </c>
      <c r="F11" s="94">
        <f>SUM('ORDENES '!G10)</f>
        <v>0.96</v>
      </c>
      <c r="G11" s="93">
        <f>SUM('ORDENES '!H10)</f>
        <v>0</v>
      </c>
      <c r="H11" s="94">
        <f>SUM('ORDENES '!I10)</f>
        <v>0</v>
      </c>
      <c r="I11" s="93">
        <f>SUM('ORDENES '!J10)</f>
        <v>0</v>
      </c>
      <c r="J11" s="9">
        <f t="shared" si="4"/>
        <v>22.92</v>
      </c>
      <c r="K11" s="66">
        <f t="shared" si="0"/>
        <v>70.847999999999999</v>
      </c>
      <c r="L11" s="5">
        <f t="shared" si="5"/>
        <v>144</v>
      </c>
      <c r="M11" s="66">
        <f t="shared" si="6"/>
        <v>265.68</v>
      </c>
      <c r="N11" s="5">
        <f t="shared" si="7"/>
        <v>540</v>
      </c>
      <c r="O11" s="66">
        <f t="shared" si="8"/>
        <v>1284.1199999999999</v>
      </c>
      <c r="P11" s="5">
        <f t="shared" si="9"/>
        <v>2610</v>
      </c>
      <c r="Q11" s="66">
        <f t="shared" si="10"/>
        <v>70.847999999999999</v>
      </c>
      <c r="R11" s="5">
        <f t="shared" si="11"/>
        <v>144</v>
      </c>
      <c r="S11" s="66">
        <f t="shared" si="12"/>
        <v>0</v>
      </c>
      <c r="T11" s="5">
        <f t="shared" si="13"/>
        <v>0</v>
      </c>
      <c r="U11" s="66">
        <f t="shared" si="14"/>
        <v>0</v>
      </c>
      <c r="V11" s="5">
        <f t="shared" si="15"/>
        <v>0</v>
      </c>
      <c r="W11" s="66">
        <f t="shared" si="16"/>
        <v>0</v>
      </c>
      <c r="X11" s="5">
        <f t="shared" si="17"/>
        <v>0</v>
      </c>
      <c r="Y11" s="10">
        <f>SUM(PRECIOS!C11)</f>
        <v>73.8</v>
      </c>
      <c r="Z11" s="11">
        <f>SUM(PRECIOS!D11)</f>
        <v>150</v>
      </c>
      <c r="AA11" s="20">
        <f t="shared" si="1"/>
        <v>1691.4960000000001</v>
      </c>
      <c r="AB11" s="12">
        <f t="shared" si="2"/>
        <v>3438.0000000000005</v>
      </c>
      <c r="AC11" s="13">
        <f t="shared" si="3"/>
        <v>1746.5040000000004</v>
      </c>
      <c r="AD11" s="3"/>
      <c r="AE11" s="17"/>
      <c r="AF11" s="3"/>
      <c r="AG11" s="3"/>
      <c r="AH11" s="2"/>
      <c r="AI11" s="2"/>
      <c r="AJ11" s="2"/>
      <c r="AK11" s="2"/>
    </row>
    <row r="12" spans="1:37">
      <c r="A12" s="1">
        <v>9</v>
      </c>
      <c r="B12" s="70" t="str">
        <f>(PRECIOS!B12)</f>
        <v>PECHUGA DE POLLO  MÓLIDA</v>
      </c>
      <c r="C12" s="93">
        <f>SUM('ORDENES '!D11)</f>
        <v>0</v>
      </c>
      <c r="D12" s="94">
        <f>SUM('ORDENES '!E11)</f>
        <v>0</v>
      </c>
      <c r="E12" s="93">
        <f>SUM('ORDENES '!F11)</f>
        <v>0</v>
      </c>
      <c r="F12" s="94">
        <f>SUM('ORDENES '!G11)</f>
        <v>0</v>
      </c>
      <c r="G12" s="93">
        <f>SUM('ORDENES '!H11)</f>
        <v>0</v>
      </c>
      <c r="H12" s="94">
        <f>SUM('ORDENES '!I11)</f>
        <v>0</v>
      </c>
      <c r="I12" s="93">
        <f>SUM('ORDENES '!J11)</f>
        <v>0</v>
      </c>
      <c r="J12" s="9">
        <f t="shared" si="4"/>
        <v>0</v>
      </c>
      <c r="K12" s="66">
        <f t="shared" si="0"/>
        <v>0</v>
      </c>
      <c r="L12" s="5">
        <f t="shared" si="5"/>
        <v>0</v>
      </c>
      <c r="M12" s="66">
        <f t="shared" si="6"/>
        <v>0</v>
      </c>
      <c r="N12" s="5">
        <f t="shared" si="7"/>
        <v>0</v>
      </c>
      <c r="O12" s="66">
        <f t="shared" si="8"/>
        <v>0</v>
      </c>
      <c r="P12" s="5">
        <f t="shared" si="9"/>
        <v>0</v>
      </c>
      <c r="Q12" s="66">
        <f t="shared" si="10"/>
        <v>0</v>
      </c>
      <c r="R12" s="5">
        <f t="shared" si="11"/>
        <v>0</v>
      </c>
      <c r="S12" s="66">
        <f t="shared" si="12"/>
        <v>0</v>
      </c>
      <c r="T12" s="5">
        <f t="shared" si="13"/>
        <v>0</v>
      </c>
      <c r="U12" s="66">
        <f t="shared" si="14"/>
        <v>0</v>
      </c>
      <c r="V12" s="5">
        <f t="shared" si="15"/>
        <v>0</v>
      </c>
      <c r="W12" s="66">
        <f t="shared" si="16"/>
        <v>0</v>
      </c>
      <c r="X12" s="5">
        <f t="shared" si="17"/>
        <v>0</v>
      </c>
      <c r="Y12" s="10">
        <f>SUM(PRECIOS!C12)</f>
        <v>55</v>
      </c>
      <c r="Z12" s="11">
        <f>SUM(PRECIOS!D12)</f>
        <v>75</v>
      </c>
      <c r="AA12" s="20">
        <f t="shared" si="1"/>
        <v>0</v>
      </c>
      <c r="AB12" s="12">
        <f t="shared" si="2"/>
        <v>0</v>
      </c>
      <c r="AC12" s="13">
        <f t="shared" si="3"/>
        <v>0</v>
      </c>
      <c r="AD12" s="3"/>
      <c r="AE12" s="17"/>
      <c r="AF12" s="3"/>
      <c r="AG12" s="3"/>
      <c r="AH12" s="2"/>
      <c r="AI12" s="2"/>
      <c r="AJ12" s="2"/>
      <c r="AK12" s="2"/>
    </row>
    <row r="13" spans="1:37" ht="18">
      <c r="A13" s="1">
        <v>10</v>
      </c>
      <c r="B13" s="70" t="str">
        <f>(PRECIOS!B13)</f>
        <v>PIERNA Y MUSLO DE POLLO SIN PIEL EN FORMA DE PISTOLA</v>
      </c>
      <c r="C13" s="93">
        <f>SUM('ORDENES '!D12)</f>
        <v>19.8</v>
      </c>
      <c r="D13" s="94">
        <f>SUM('ORDENES '!E12)</f>
        <v>21.15</v>
      </c>
      <c r="E13" s="93">
        <f>SUM('ORDENES '!F12)</f>
        <v>0</v>
      </c>
      <c r="F13" s="94">
        <f>SUM('ORDENES '!G12)</f>
        <v>18</v>
      </c>
      <c r="G13" s="93">
        <f>SUM('ORDENES '!H12)</f>
        <v>0</v>
      </c>
      <c r="H13" s="94">
        <f>SUM('ORDENES '!I12)</f>
        <v>21.75</v>
      </c>
      <c r="I13" s="93">
        <f>SUM('ORDENES '!J12)</f>
        <v>0</v>
      </c>
      <c r="J13" s="9">
        <f t="shared" si="4"/>
        <v>80.7</v>
      </c>
      <c r="K13" s="66">
        <f t="shared" si="0"/>
        <v>708.83999999999992</v>
      </c>
      <c r="L13" s="5">
        <f t="shared" si="5"/>
        <v>1287</v>
      </c>
      <c r="M13" s="66">
        <f t="shared" si="6"/>
        <v>757.16999999999985</v>
      </c>
      <c r="N13" s="5">
        <f t="shared" si="7"/>
        <v>1374.75</v>
      </c>
      <c r="O13" s="66">
        <f t="shared" si="8"/>
        <v>0</v>
      </c>
      <c r="P13" s="5">
        <f t="shared" si="9"/>
        <v>0</v>
      </c>
      <c r="Q13" s="66">
        <f t="shared" si="10"/>
        <v>644.4</v>
      </c>
      <c r="R13" s="5">
        <f t="shared" si="11"/>
        <v>1170</v>
      </c>
      <c r="S13" s="66">
        <f t="shared" si="12"/>
        <v>0</v>
      </c>
      <c r="T13" s="5">
        <f t="shared" si="13"/>
        <v>0</v>
      </c>
      <c r="U13" s="66">
        <f t="shared" si="14"/>
        <v>778.65</v>
      </c>
      <c r="V13" s="5">
        <f t="shared" si="15"/>
        <v>1413.75</v>
      </c>
      <c r="W13" s="66">
        <f t="shared" si="16"/>
        <v>0</v>
      </c>
      <c r="X13" s="5">
        <f t="shared" si="17"/>
        <v>0</v>
      </c>
      <c r="Y13" s="10">
        <f>SUM(PRECIOS!C13)</f>
        <v>35.799999999999997</v>
      </c>
      <c r="Z13" s="11">
        <f>SUM(PRECIOS!D13)</f>
        <v>65</v>
      </c>
      <c r="AA13" s="20">
        <f t="shared" si="1"/>
        <v>2889.06</v>
      </c>
      <c r="AB13" s="12">
        <f t="shared" si="2"/>
        <v>5245.5</v>
      </c>
      <c r="AC13" s="13">
        <f t="shared" si="3"/>
        <v>2356.44</v>
      </c>
      <c r="AD13" s="3"/>
      <c r="AE13" s="17"/>
      <c r="AF13" s="3"/>
      <c r="AG13" s="3"/>
      <c r="AH13" s="2"/>
      <c r="AI13" s="2"/>
      <c r="AJ13" s="2"/>
      <c r="AK13" s="2"/>
    </row>
    <row r="14" spans="1:37">
      <c r="A14" s="1">
        <v>11</v>
      </c>
      <c r="B14" s="70" t="str">
        <f>(PRECIOS!B14)</f>
        <v>POLLO ENTERO</v>
      </c>
      <c r="C14" s="93">
        <f>SUM('ORDENES '!D13)</f>
        <v>0</v>
      </c>
      <c r="D14" s="94">
        <f>SUM('ORDENES '!E13)</f>
        <v>0</v>
      </c>
      <c r="E14" s="93">
        <f>SUM('ORDENES '!F13)</f>
        <v>0</v>
      </c>
      <c r="F14" s="94">
        <f>SUM('ORDENES '!G13)</f>
        <v>0</v>
      </c>
      <c r="G14" s="93">
        <f>SUM('ORDENES '!H13)</f>
        <v>0</v>
      </c>
      <c r="H14" s="94">
        <f>SUM('ORDENES '!I13)</f>
        <v>0</v>
      </c>
      <c r="I14" s="93">
        <f>SUM('ORDENES '!J13)</f>
        <v>0</v>
      </c>
      <c r="J14" s="9">
        <f t="shared" si="4"/>
        <v>0</v>
      </c>
      <c r="K14" s="66">
        <f t="shared" si="0"/>
        <v>0</v>
      </c>
      <c r="L14" s="5">
        <f t="shared" si="5"/>
        <v>0</v>
      </c>
      <c r="M14" s="66">
        <f t="shared" si="6"/>
        <v>0</v>
      </c>
      <c r="N14" s="5">
        <f t="shared" si="7"/>
        <v>0</v>
      </c>
      <c r="O14" s="66">
        <f t="shared" si="8"/>
        <v>0</v>
      </c>
      <c r="P14" s="5">
        <f t="shared" si="9"/>
        <v>0</v>
      </c>
      <c r="Q14" s="66">
        <f t="shared" si="10"/>
        <v>0</v>
      </c>
      <c r="R14" s="5">
        <f t="shared" si="11"/>
        <v>0</v>
      </c>
      <c r="S14" s="66">
        <f t="shared" si="12"/>
        <v>0</v>
      </c>
      <c r="T14" s="5">
        <f t="shared" si="13"/>
        <v>0</v>
      </c>
      <c r="U14" s="66">
        <f t="shared" si="14"/>
        <v>0</v>
      </c>
      <c r="V14" s="5">
        <f t="shared" si="15"/>
        <v>0</v>
      </c>
      <c r="W14" s="66">
        <f t="shared" si="16"/>
        <v>0</v>
      </c>
      <c r="X14" s="5">
        <f t="shared" si="17"/>
        <v>0</v>
      </c>
      <c r="Y14" s="10">
        <f>SUM(PRECIOS!C14)</f>
        <v>50</v>
      </c>
      <c r="Z14" s="11">
        <f>SUM(PRECIOS!D14)</f>
        <v>50</v>
      </c>
      <c r="AA14" s="20">
        <f t="shared" si="1"/>
        <v>0</v>
      </c>
      <c r="AB14" s="12">
        <f t="shared" si="2"/>
        <v>0</v>
      </c>
      <c r="AC14" s="13">
        <f t="shared" si="3"/>
        <v>0</v>
      </c>
      <c r="AD14" s="3"/>
      <c r="AE14" s="17"/>
      <c r="AF14" s="3"/>
      <c r="AG14" s="3"/>
      <c r="AH14" s="2"/>
      <c r="AI14" s="2"/>
      <c r="AJ14" s="2"/>
      <c r="AK14" s="2"/>
    </row>
    <row r="15" spans="1:37">
      <c r="A15" s="1">
        <v>12</v>
      </c>
      <c r="B15" s="70" t="str">
        <f>(PRECIOS!B15)</f>
        <v>BISTEC DE PIERNA DE RES</v>
      </c>
      <c r="C15" s="93">
        <f>SUM('ORDENES '!D14)</f>
        <v>0</v>
      </c>
      <c r="D15" s="94">
        <f>SUM('ORDENES '!E14)</f>
        <v>12</v>
      </c>
      <c r="E15" s="93">
        <f>SUM('ORDENES '!F14)</f>
        <v>10</v>
      </c>
      <c r="F15" s="94">
        <f>SUM('ORDENES '!G14)</f>
        <v>22.42</v>
      </c>
      <c r="G15" s="93">
        <f>SUM('ORDENES '!H14)</f>
        <v>0.93</v>
      </c>
      <c r="H15" s="94">
        <f>SUM('ORDENES '!I14)</f>
        <v>0</v>
      </c>
      <c r="I15" s="93">
        <f>SUM('ORDENES '!J14)</f>
        <v>0</v>
      </c>
      <c r="J15" s="9">
        <f t="shared" si="4"/>
        <v>45.35</v>
      </c>
      <c r="K15" s="66">
        <f t="shared" si="0"/>
        <v>0</v>
      </c>
      <c r="L15" s="5">
        <f t="shared" si="5"/>
        <v>0</v>
      </c>
      <c r="M15" s="66">
        <f t="shared" si="6"/>
        <v>1680</v>
      </c>
      <c r="N15" s="5">
        <f t="shared" si="7"/>
        <v>1920</v>
      </c>
      <c r="O15" s="66">
        <f t="shared" si="8"/>
        <v>1400</v>
      </c>
      <c r="P15" s="5">
        <f t="shared" si="9"/>
        <v>1600</v>
      </c>
      <c r="Q15" s="66">
        <f t="shared" si="10"/>
        <v>3138.8</v>
      </c>
      <c r="R15" s="5">
        <f t="shared" si="11"/>
        <v>3587.2000000000003</v>
      </c>
      <c r="S15" s="66">
        <f t="shared" si="12"/>
        <v>130.20000000000002</v>
      </c>
      <c r="T15" s="5">
        <f t="shared" si="13"/>
        <v>148.80000000000001</v>
      </c>
      <c r="U15" s="66">
        <f t="shared" si="14"/>
        <v>0</v>
      </c>
      <c r="V15" s="5">
        <f t="shared" si="15"/>
        <v>0</v>
      </c>
      <c r="W15" s="66">
        <f t="shared" si="16"/>
        <v>0</v>
      </c>
      <c r="X15" s="5">
        <f t="shared" si="17"/>
        <v>0</v>
      </c>
      <c r="Y15" s="10">
        <f>SUM(PRECIOS!C15)</f>
        <v>140</v>
      </c>
      <c r="Z15" s="11">
        <f>SUM(PRECIOS!D15)</f>
        <v>160</v>
      </c>
      <c r="AA15" s="20">
        <f t="shared" si="1"/>
        <v>6349</v>
      </c>
      <c r="AB15" s="12">
        <f t="shared" si="2"/>
        <v>7256</v>
      </c>
      <c r="AC15" s="13">
        <f t="shared" si="3"/>
        <v>907</v>
      </c>
      <c r="AD15" s="3"/>
      <c r="AE15" s="17"/>
      <c r="AF15" s="3"/>
      <c r="AG15" s="3"/>
      <c r="AH15" s="2"/>
      <c r="AI15" s="2"/>
      <c r="AJ15" s="2"/>
      <c r="AK15" s="2"/>
    </row>
    <row r="16" spans="1:37">
      <c r="A16" s="1">
        <v>13</v>
      </c>
      <c r="B16" s="70" t="str">
        <f>(PRECIOS!B16)</f>
        <v>CHAMBARETE DE RES</v>
      </c>
      <c r="C16" s="93">
        <f>SUM('ORDENES '!D15)</f>
        <v>0</v>
      </c>
      <c r="D16" s="94">
        <f>SUM('ORDENES '!E15)</f>
        <v>0</v>
      </c>
      <c r="E16" s="93">
        <f>SUM('ORDENES '!F15)</f>
        <v>0</v>
      </c>
      <c r="F16" s="94">
        <f>SUM('ORDENES '!G15)</f>
        <v>0</v>
      </c>
      <c r="G16" s="93">
        <f>SUM('ORDENES '!H15)</f>
        <v>0</v>
      </c>
      <c r="H16" s="94">
        <f>SUM('ORDENES '!I15)</f>
        <v>0</v>
      </c>
      <c r="I16" s="93">
        <f>SUM('ORDENES '!J15)</f>
        <v>0</v>
      </c>
      <c r="J16" s="9">
        <f t="shared" si="4"/>
        <v>0</v>
      </c>
      <c r="K16" s="66">
        <f t="shared" si="0"/>
        <v>0</v>
      </c>
      <c r="L16" s="5">
        <f t="shared" si="5"/>
        <v>0</v>
      </c>
      <c r="M16" s="66">
        <f t="shared" si="6"/>
        <v>0</v>
      </c>
      <c r="N16" s="5">
        <f t="shared" si="7"/>
        <v>0</v>
      </c>
      <c r="O16" s="66">
        <f t="shared" si="8"/>
        <v>0</v>
      </c>
      <c r="P16" s="5">
        <f t="shared" si="9"/>
        <v>0</v>
      </c>
      <c r="Q16" s="66">
        <f t="shared" si="10"/>
        <v>0</v>
      </c>
      <c r="R16" s="5">
        <f t="shared" si="11"/>
        <v>0</v>
      </c>
      <c r="S16" s="66">
        <f t="shared" si="12"/>
        <v>0</v>
      </c>
      <c r="T16" s="5">
        <f t="shared" si="13"/>
        <v>0</v>
      </c>
      <c r="U16" s="66">
        <f t="shared" si="14"/>
        <v>0</v>
      </c>
      <c r="V16" s="5">
        <f t="shared" si="15"/>
        <v>0</v>
      </c>
      <c r="W16" s="66">
        <f t="shared" si="16"/>
        <v>0</v>
      </c>
      <c r="X16" s="5">
        <f t="shared" si="17"/>
        <v>0</v>
      </c>
      <c r="Y16" s="10">
        <f>SUM(PRECIOS!C16)</f>
        <v>120</v>
      </c>
      <c r="Z16" s="11">
        <f>SUM(PRECIOS!D16)</f>
        <v>120</v>
      </c>
      <c r="AA16" s="20">
        <f t="shared" si="1"/>
        <v>0</v>
      </c>
      <c r="AB16" s="12">
        <f t="shared" si="2"/>
        <v>0</v>
      </c>
      <c r="AC16" s="13">
        <f t="shared" si="3"/>
        <v>0</v>
      </c>
      <c r="AD16" s="3"/>
      <c r="AE16" s="17"/>
      <c r="AF16" s="3"/>
      <c r="AG16" s="3"/>
      <c r="AH16" s="2"/>
      <c r="AI16" s="2"/>
      <c r="AJ16" s="2"/>
      <c r="AK16" s="2"/>
    </row>
    <row r="17" spans="1:37">
      <c r="A17" s="1">
        <v>14</v>
      </c>
      <c r="B17" s="70" t="str">
        <f>(PRECIOS!B17)</f>
        <v>CUETE DE PIERNA DE RES</v>
      </c>
      <c r="C17" s="93">
        <f>SUM('ORDENES '!D16)</f>
        <v>0</v>
      </c>
      <c r="D17" s="94">
        <f>SUM('ORDENES '!E16)</f>
        <v>0</v>
      </c>
      <c r="E17" s="93">
        <f>SUM('ORDENES '!F16)</f>
        <v>0</v>
      </c>
      <c r="F17" s="94">
        <f>SUM('ORDENES '!G16)</f>
        <v>0</v>
      </c>
      <c r="G17" s="93">
        <f>SUM('ORDENES '!H16)</f>
        <v>0</v>
      </c>
      <c r="H17" s="94">
        <f>SUM('ORDENES '!I16)</f>
        <v>0</v>
      </c>
      <c r="I17" s="93">
        <f>SUM('ORDENES '!J16)</f>
        <v>0</v>
      </c>
      <c r="J17" s="9">
        <f t="shared" si="4"/>
        <v>0</v>
      </c>
      <c r="K17" s="66">
        <f t="shared" si="0"/>
        <v>0</v>
      </c>
      <c r="L17" s="5">
        <f t="shared" si="5"/>
        <v>0</v>
      </c>
      <c r="M17" s="66">
        <f t="shared" si="6"/>
        <v>0</v>
      </c>
      <c r="N17" s="5">
        <f t="shared" si="7"/>
        <v>0</v>
      </c>
      <c r="O17" s="66">
        <f t="shared" si="8"/>
        <v>0</v>
      </c>
      <c r="P17" s="5">
        <f t="shared" si="9"/>
        <v>0</v>
      </c>
      <c r="Q17" s="66">
        <f t="shared" si="10"/>
        <v>0</v>
      </c>
      <c r="R17" s="5">
        <f t="shared" si="11"/>
        <v>0</v>
      </c>
      <c r="S17" s="66">
        <f t="shared" si="12"/>
        <v>0</v>
      </c>
      <c r="T17" s="5">
        <f t="shared" si="13"/>
        <v>0</v>
      </c>
      <c r="U17" s="66">
        <f t="shared" si="14"/>
        <v>0</v>
      </c>
      <c r="V17" s="5">
        <f t="shared" si="15"/>
        <v>0</v>
      </c>
      <c r="W17" s="66">
        <f t="shared" si="16"/>
        <v>0</v>
      </c>
      <c r="X17" s="5">
        <f t="shared" si="17"/>
        <v>0</v>
      </c>
      <c r="Y17" s="10">
        <f>SUM(PRECIOS!C17)</f>
        <v>89</v>
      </c>
      <c r="Z17" s="11">
        <f>SUM(PRECIOS!D17)</f>
        <v>120</v>
      </c>
      <c r="AA17" s="20">
        <f t="shared" si="1"/>
        <v>0</v>
      </c>
      <c r="AB17" s="12">
        <f t="shared" si="2"/>
        <v>0</v>
      </c>
      <c r="AC17" s="13">
        <f t="shared" si="3"/>
        <v>0</v>
      </c>
      <c r="AD17" s="3"/>
      <c r="AE17" s="17"/>
      <c r="AF17" s="3"/>
      <c r="AG17" s="3"/>
      <c r="AH17" s="2"/>
      <c r="AI17" s="2"/>
      <c r="AJ17" s="2"/>
      <c r="AK17" s="2"/>
    </row>
    <row r="18" spans="1:37">
      <c r="A18" s="1">
        <v>15</v>
      </c>
      <c r="B18" s="70" t="str">
        <f>(PRECIOS!B18)</f>
        <v>FALDA DE RES</v>
      </c>
      <c r="C18" s="93">
        <f>SUM('ORDENES '!D17)</f>
        <v>10.8</v>
      </c>
      <c r="D18" s="94">
        <f>SUM('ORDENES '!E17)</f>
        <v>0</v>
      </c>
      <c r="E18" s="93">
        <f>SUM('ORDENES '!F17)</f>
        <v>0</v>
      </c>
      <c r="F18" s="94">
        <f>SUM('ORDENES '!G17)</f>
        <v>0</v>
      </c>
      <c r="G18" s="93">
        <f>SUM('ORDENES '!H17)</f>
        <v>12</v>
      </c>
      <c r="H18" s="94">
        <f>SUM('ORDENES '!I17)</f>
        <v>10</v>
      </c>
      <c r="I18" s="93">
        <f>SUM('ORDENES '!J17)</f>
        <v>0</v>
      </c>
      <c r="J18" s="9">
        <f t="shared" si="4"/>
        <v>32.799999999999997</v>
      </c>
      <c r="K18" s="66">
        <f t="shared" si="0"/>
        <v>864</v>
      </c>
      <c r="L18" s="5">
        <f t="shared" si="5"/>
        <v>1512</v>
      </c>
      <c r="M18" s="66">
        <f t="shared" si="6"/>
        <v>0</v>
      </c>
      <c r="N18" s="5">
        <f t="shared" si="7"/>
        <v>0</v>
      </c>
      <c r="O18" s="66">
        <f t="shared" si="8"/>
        <v>0</v>
      </c>
      <c r="P18" s="5">
        <f t="shared" si="9"/>
        <v>0</v>
      </c>
      <c r="Q18" s="66">
        <f t="shared" si="10"/>
        <v>0</v>
      </c>
      <c r="R18" s="5">
        <f t="shared" si="11"/>
        <v>0</v>
      </c>
      <c r="S18" s="66">
        <f t="shared" si="12"/>
        <v>960</v>
      </c>
      <c r="T18" s="5">
        <f t="shared" si="13"/>
        <v>1680</v>
      </c>
      <c r="U18" s="66">
        <f t="shared" si="14"/>
        <v>800</v>
      </c>
      <c r="V18" s="5">
        <f t="shared" si="15"/>
        <v>1400</v>
      </c>
      <c r="W18" s="66">
        <f t="shared" si="16"/>
        <v>0</v>
      </c>
      <c r="X18" s="5">
        <f t="shared" si="17"/>
        <v>0</v>
      </c>
      <c r="Y18" s="10">
        <f>SUM(PRECIOS!C18)</f>
        <v>80</v>
      </c>
      <c r="Z18" s="11">
        <f>SUM(PRECIOS!D18)</f>
        <v>140</v>
      </c>
      <c r="AA18" s="20">
        <f t="shared" si="1"/>
        <v>2624</v>
      </c>
      <c r="AB18" s="12">
        <f t="shared" si="2"/>
        <v>4592</v>
      </c>
      <c r="AC18" s="13">
        <f t="shared" si="3"/>
        <v>1968</v>
      </c>
      <c r="AD18" s="3"/>
      <c r="AE18" s="17"/>
      <c r="AF18" s="3"/>
      <c r="AG18" s="3"/>
      <c r="AH18" s="2"/>
      <c r="AI18" s="2"/>
      <c r="AJ18" s="2"/>
      <c r="AK18" s="2"/>
    </row>
    <row r="19" spans="1:37">
      <c r="A19" s="1">
        <v>16</v>
      </c>
      <c r="B19" s="70" t="str">
        <f>(PRECIOS!B19)</f>
        <v>PULPA DE RES EN TROZO</v>
      </c>
      <c r="C19" s="93">
        <f>SUM('ORDENES '!D18)</f>
        <v>13.2</v>
      </c>
      <c r="D19" s="94">
        <f>SUM('ORDENES '!E18)</f>
        <v>0</v>
      </c>
      <c r="E19" s="93">
        <f>SUM('ORDENES '!F18)</f>
        <v>0</v>
      </c>
      <c r="F19" s="94">
        <f>SUM('ORDENES '!G18)</f>
        <v>0</v>
      </c>
      <c r="G19" s="93">
        <f>SUM('ORDENES '!H18)</f>
        <v>4.5</v>
      </c>
      <c r="H19" s="94">
        <f>SUM('ORDENES '!I18)</f>
        <v>0</v>
      </c>
      <c r="I19" s="93">
        <f>SUM('ORDENES '!J18)</f>
        <v>0</v>
      </c>
      <c r="J19" s="9">
        <f t="shared" si="4"/>
        <v>17.7</v>
      </c>
      <c r="K19" s="66">
        <f t="shared" si="0"/>
        <v>1188</v>
      </c>
      <c r="L19" s="5">
        <f t="shared" si="5"/>
        <v>1914</v>
      </c>
      <c r="M19" s="66">
        <f t="shared" si="6"/>
        <v>0</v>
      </c>
      <c r="N19" s="5">
        <f t="shared" si="7"/>
        <v>0</v>
      </c>
      <c r="O19" s="66">
        <f t="shared" si="8"/>
        <v>0</v>
      </c>
      <c r="P19" s="5">
        <f t="shared" si="9"/>
        <v>0</v>
      </c>
      <c r="Q19" s="66">
        <f t="shared" si="10"/>
        <v>0</v>
      </c>
      <c r="R19" s="5">
        <f t="shared" si="11"/>
        <v>0</v>
      </c>
      <c r="S19" s="66">
        <f t="shared" si="12"/>
        <v>405</v>
      </c>
      <c r="T19" s="5">
        <f t="shared" si="13"/>
        <v>652.5</v>
      </c>
      <c r="U19" s="66">
        <f t="shared" si="14"/>
        <v>0</v>
      </c>
      <c r="V19" s="5">
        <f t="shared" si="15"/>
        <v>0</v>
      </c>
      <c r="W19" s="66">
        <f t="shared" si="16"/>
        <v>0</v>
      </c>
      <c r="X19" s="5">
        <f t="shared" si="17"/>
        <v>0</v>
      </c>
      <c r="Y19" s="10">
        <f>SUM(PRECIOS!C19)</f>
        <v>90</v>
      </c>
      <c r="Z19" s="11">
        <f>SUM(PRECIOS!D19)</f>
        <v>145</v>
      </c>
      <c r="AA19" s="20">
        <f t="shared" si="1"/>
        <v>1593</v>
      </c>
      <c r="AB19" s="12">
        <f t="shared" si="2"/>
        <v>2566.5</v>
      </c>
      <c r="AC19" s="13">
        <f t="shared" si="3"/>
        <v>973.5</v>
      </c>
      <c r="AD19" s="3"/>
      <c r="AE19" s="17"/>
      <c r="AF19" s="3"/>
      <c r="AG19" s="3"/>
      <c r="AH19" s="2"/>
      <c r="AI19" s="2"/>
      <c r="AJ19" s="2"/>
      <c r="AK19" s="2"/>
    </row>
    <row r="20" spans="1:37">
      <c r="A20" s="1">
        <v>17</v>
      </c>
      <c r="B20" s="70" t="str">
        <f>(PRECIOS!B20)</f>
        <v>PULPA DE RES MOLIDA</v>
      </c>
      <c r="C20" s="93">
        <f>SUM('ORDENES '!D19)</f>
        <v>8.1</v>
      </c>
      <c r="D20" s="94">
        <f>SUM('ORDENES '!E19)</f>
        <v>1.1399999999999999</v>
      </c>
      <c r="E20" s="93">
        <f>SUM('ORDENES '!F19)</f>
        <v>11.22</v>
      </c>
      <c r="F20" s="94">
        <f>SUM('ORDENES '!G19)</f>
        <v>1.86</v>
      </c>
      <c r="G20" s="93">
        <f>SUM('ORDENES '!H19)</f>
        <v>1.08</v>
      </c>
      <c r="H20" s="94">
        <f>SUM('ORDENES '!I19)</f>
        <v>0.72</v>
      </c>
      <c r="I20" s="93">
        <f>SUM('ORDENES '!J19)</f>
        <v>12.12</v>
      </c>
      <c r="J20" s="9">
        <f t="shared" si="4"/>
        <v>36.239999999999995</v>
      </c>
      <c r="K20" s="66">
        <f t="shared" si="0"/>
        <v>607.5</v>
      </c>
      <c r="L20" s="5">
        <f t="shared" si="5"/>
        <v>1053</v>
      </c>
      <c r="M20" s="66">
        <f t="shared" si="6"/>
        <v>85.499999999999986</v>
      </c>
      <c r="N20" s="5">
        <f t="shared" si="7"/>
        <v>148.19999999999999</v>
      </c>
      <c r="O20" s="66">
        <f t="shared" si="8"/>
        <v>841.5</v>
      </c>
      <c r="P20" s="5">
        <f t="shared" si="9"/>
        <v>1458.6000000000001</v>
      </c>
      <c r="Q20" s="66">
        <f t="shared" si="10"/>
        <v>139.5</v>
      </c>
      <c r="R20" s="5">
        <f t="shared" si="11"/>
        <v>241.8</v>
      </c>
      <c r="S20" s="66">
        <f t="shared" si="12"/>
        <v>81</v>
      </c>
      <c r="T20" s="5">
        <f t="shared" si="13"/>
        <v>140.4</v>
      </c>
      <c r="U20" s="66">
        <f t="shared" si="14"/>
        <v>54</v>
      </c>
      <c r="V20" s="5">
        <f t="shared" si="15"/>
        <v>93.6</v>
      </c>
      <c r="W20" s="66">
        <f t="shared" si="16"/>
        <v>908.99999999999989</v>
      </c>
      <c r="X20" s="5">
        <f t="shared" si="17"/>
        <v>1575.6</v>
      </c>
      <c r="Y20" s="10">
        <f>SUM(PRECIOS!C20)</f>
        <v>75</v>
      </c>
      <c r="Z20" s="11">
        <f>SUM(PRECIOS!D20)</f>
        <v>130</v>
      </c>
      <c r="AA20" s="20">
        <f t="shared" si="1"/>
        <v>2717.9999999999995</v>
      </c>
      <c r="AB20" s="12">
        <f t="shared" si="2"/>
        <v>4711.1999999999989</v>
      </c>
      <c r="AC20" s="13">
        <f t="shared" si="3"/>
        <v>1993.1999999999994</v>
      </c>
      <c r="AD20" s="3"/>
      <c r="AE20" s="17"/>
      <c r="AF20" s="3"/>
      <c r="AG20" s="3"/>
      <c r="AH20" s="2"/>
      <c r="AI20" s="2"/>
      <c r="AJ20" s="2"/>
      <c r="AK20" s="2"/>
    </row>
    <row r="21" spans="1:37">
      <c r="A21" s="1">
        <v>18</v>
      </c>
      <c r="B21" s="70" t="str">
        <f>(PRECIOS!B21)</f>
        <v>HUEVO ENTERO</v>
      </c>
      <c r="C21" s="93">
        <f>SUM('ORDENES '!D20)</f>
        <v>10.29</v>
      </c>
      <c r="D21" s="94">
        <f>SUM('ORDENES '!E20)</f>
        <v>0.76</v>
      </c>
      <c r="E21" s="93">
        <f>SUM('ORDENES '!F20)</f>
        <v>21.5</v>
      </c>
      <c r="F21" s="94">
        <f>SUM('ORDENES '!G20)</f>
        <v>2.5499999999999998</v>
      </c>
      <c r="G21" s="93">
        <f>SUM('ORDENES '!H20)</f>
        <v>20.8</v>
      </c>
      <c r="H21" s="94">
        <f>SUM('ORDENES '!I20)</f>
        <v>2.41</v>
      </c>
      <c r="I21" s="93">
        <f>SUM('ORDENES '!J20)</f>
        <v>5.19</v>
      </c>
      <c r="J21" s="9">
        <f t="shared" si="4"/>
        <v>63.499999999999986</v>
      </c>
      <c r="K21" s="66">
        <f t="shared" si="0"/>
        <v>274.74299999999999</v>
      </c>
      <c r="L21" s="5">
        <f t="shared" si="5"/>
        <v>391.02</v>
      </c>
      <c r="M21" s="66">
        <f t="shared" si="6"/>
        <v>20.291999999999998</v>
      </c>
      <c r="N21" s="5">
        <f t="shared" si="7"/>
        <v>28.88</v>
      </c>
      <c r="O21" s="66">
        <f t="shared" si="8"/>
        <v>574.04999999999995</v>
      </c>
      <c r="P21" s="5">
        <f t="shared" si="9"/>
        <v>817</v>
      </c>
      <c r="Q21" s="66">
        <f t="shared" si="10"/>
        <v>68.084999999999994</v>
      </c>
      <c r="R21" s="5">
        <f t="shared" si="11"/>
        <v>96.899999999999991</v>
      </c>
      <c r="S21" s="66">
        <f t="shared" si="12"/>
        <v>555.36</v>
      </c>
      <c r="T21" s="5">
        <f t="shared" si="13"/>
        <v>790.4</v>
      </c>
      <c r="U21" s="66">
        <f t="shared" si="14"/>
        <v>64.347000000000008</v>
      </c>
      <c r="V21" s="5">
        <f t="shared" si="15"/>
        <v>91.580000000000013</v>
      </c>
      <c r="W21" s="66">
        <f t="shared" si="16"/>
        <v>138.57300000000001</v>
      </c>
      <c r="X21" s="5">
        <f t="shared" si="17"/>
        <v>197.22000000000003</v>
      </c>
      <c r="Y21" s="10">
        <f>SUM(PRECIOS!C21)</f>
        <v>26.7</v>
      </c>
      <c r="Z21" s="11">
        <f>SUM(PRECIOS!D21)</f>
        <v>38</v>
      </c>
      <c r="AA21" s="20">
        <f t="shared" si="1"/>
        <v>1695.4499999999996</v>
      </c>
      <c r="AB21" s="12">
        <f t="shared" si="2"/>
        <v>2412.9999999999995</v>
      </c>
      <c r="AC21" s="13">
        <f t="shared" si="3"/>
        <v>717.55</v>
      </c>
      <c r="AD21" s="3"/>
      <c r="AE21" s="17"/>
      <c r="AF21" s="3"/>
      <c r="AG21" s="3"/>
      <c r="AH21" s="2"/>
      <c r="AI21" s="2"/>
      <c r="AJ21" s="2"/>
      <c r="AK21" s="2"/>
    </row>
    <row r="22" spans="1:37" ht="18">
      <c r="A22" s="1">
        <v>19</v>
      </c>
      <c r="B22" s="70" t="str">
        <f>(PRECIOS!B22)</f>
        <v>JAMÓN DE CERDO FINO CON 16% DE PROTEÍNA</v>
      </c>
      <c r="C22" s="93">
        <f>SUM('ORDENES '!D21)</f>
        <v>0</v>
      </c>
      <c r="D22" s="94">
        <f>SUM('ORDENES '!E21)</f>
        <v>0</v>
      </c>
      <c r="E22" s="93">
        <f>SUM('ORDENES '!F21)</f>
        <v>0</v>
      </c>
      <c r="F22" s="94">
        <f>SUM('ORDENES '!G21)</f>
        <v>0</v>
      </c>
      <c r="G22" s="93">
        <f>SUM('ORDENES '!H21)</f>
        <v>0</v>
      </c>
      <c r="H22" s="94">
        <f>SUM('ORDENES '!I21)</f>
        <v>0</v>
      </c>
      <c r="I22" s="93">
        <f>SUM('ORDENES '!J21)</f>
        <v>0</v>
      </c>
      <c r="J22" s="9">
        <f t="shared" si="4"/>
        <v>0</v>
      </c>
      <c r="K22" s="66">
        <f t="shared" si="0"/>
        <v>0</v>
      </c>
      <c r="L22" s="5">
        <f t="shared" si="5"/>
        <v>0</v>
      </c>
      <c r="M22" s="66">
        <f t="shared" si="6"/>
        <v>0</v>
      </c>
      <c r="N22" s="5">
        <f t="shared" si="7"/>
        <v>0</v>
      </c>
      <c r="O22" s="66">
        <f t="shared" si="8"/>
        <v>0</v>
      </c>
      <c r="P22" s="5">
        <f t="shared" si="9"/>
        <v>0</v>
      </c>
      <c r="Q22" s="66">
        <f t="shared" si="10"/>
        <v>0</v>
      </c>
      <c r="R22" s="5">
        <f t="shared" si="11"/>
        <v>0</v>
      </c>
      <c r="S22" s="66">
        <f t="shared" si="12"/>
        <v>0</v>
      </c>
      <c r="T22" s="5">
        <f t="shared" si="13"/>
        <v>0</v>
      </c>
      <c r="U22" s="66">
        <f t="shared" si="14"/>
        <v>0</v>
      </c>
      <c r="V22" s="5">
        <f t="shared" si="15"/>
        <v>0</v>
      </c>
      <c r="W22" s="66">
        <f t="shared" si="16"/>
        <v>0</v>
      </c>
      <c r="X22" s="5">
        <f t="shared" si="17"/>
        <v>0</v>
      </c>
      <c r="Y22" s="10">
        <f>SUM(PRECIOS!C22)</f>
        <v>80</v>
      </c>
      <c r="Z22" s="11">
        <f>SUM(PRECIOS!D22)</f>
        <v>180</v>
      </c>
      <c r="AA22" s="20">
        <f t="shared" si="1"/>
        <v>0</v>
      </c>
      <c r="AB22" s="12">
        <f t="shared" si="2"/>
        <v>0</v>
      </c>
      <c r="AC22" s="13">
        <f t="shared" si="3"/>
        <v>0</v>
      </c>
      <c r="AD22" s="3"/>
      <c r="AE22" s="17"/>
      <c r="AF22" s="3"/>
      <c r="AG22" s="3"/>
      <c r="AH22" s="2"/>
      <c r="AI22" s="2"/>
      <c r="AJ22" s="2"/>
      <c r="AK22" s="2"/>
    </row>
    <row r="23" spans="1:37">
      <c r="A23" s="1">
        <v>20</v>
      </c>
      <c r="B23" s="70" t="str">
        <f>(PRECIOS!B23)</f>
        <v>JAMÓN DE PAVO</v>
      </c>
      <c r="C23" s="93">
        <f>SUM('ORDENES '!D22)</f>
        <v>0.66</v>
      </c>
      <c r="D23" s="94">
        <f>SUM('ORDENES '!E22)</f>
        <v>0</v>
      </c>
      <c r="E23" s="93">
        <f>SUM('ORDENES '!F22)</f>
        <v>0</v>
      </c>
      <c r="F23" s="94">
        <f>SUM('ORDENES '!G22)</f>
        <v>7.56</v>
      </c>
      <c r="G23" s="93">
        <f>SUM('ORDENES '!H22)</f>
        <v>2.58</v>
      </c>
      <c r="H23" s="94">
        <f>SUM('ORDENES '!I22)</f>
        <v>5.04</v>
      </c>
      <c r="I23" s="93">
        <f>SUM('ORDENES '!J22)</f>
        <v>3.84</v>
      </c>
      <c r="J23" s="9">
        <f t="shared" si="4"/>
        <v>19.68</v>
      </c>
      <c r="K23" s="66">
        <f t="shared" si="0"/>
        <v>39.6</v>
      </c>
      <c r="L23" s="5">
        <f t="shared" si="5"/>
        <v>79.2</v>
      </c>
      <c r="M23" s="66">
        <f t="shared" si="6"/>
        <v>0</v>
      </c>
      <c r="N23" s="5">
        <f t="shared" si="7"/>
        <v>0</v>
      </c>
      <c r="O23" s="66">
        <f t="shared" si="8"/>
        <v>0</v>
      </c>
      <c r="P23" s="5">
        <f t="shared" si="9"/>
        <v>0</v>
      </c>
      <c r="Q23" s="66">
        <f t="shared" si="10"/>
        <v>453.59999999999997</v>
      </c>
      <c r="R23" s="5">
        <f t="shared" si="11"/>
        <v>907.19999999999993</v>
      </c>
      <c r="S23" s="66">
        <f t="shared" si="12"/>
        <v>154.80000000000001</v>
      </c>
      <c r="T23" s="5">
        <f t="shared" si="13"/>
        <v>309.60000000000002</v>
      </c>
      <c r="U23" s="66">
        <f t="shared" si="14"/>
        <v>302.39999999999998</v>
      </c>
      <c r="V23" s="5">
        <f t="shared" si="15"/>
        <v>604.79999999999995</v>
      </c>
      <c r="W23" s="66">
        <f t="shared" si="16"/>
        <v>230.39999999999998</v>
      </c>
      <c r="X23" s="5">
        <f t="shared" si="17"/>
        <v>460.79999999999995</v>
      </c>
      <c r="Y23" s="10">
        <f>SUM(PRECIOS!C23)</f>
        <v>60</v>
      </c>
      <c r="Z23" s="11">
        <f>SUM(PRECIOS!D23)</f>
        <v>120</v>
      </c>
      <c r="AA23" s="20">
        <f t="shared" si="1"/>
        <v>1180.8</v>
      </c>
      <c r="AB23" s="12">
        <f t="shared" si="2"/>
        <v>2361.6</v>
      </c>
      <c r="AC23" s="13">
        <f t="shared" si="3"/>
        <v>1180.8</v>
      </c>
      <c r="AD23" s="3"/>
      <c r="AE23" s="17"/>
      <c r="AF23" s="3"/>
      <c r="AG23" s="3"/>
      <c r="AH23" s="2"/>
      <c r="AI23" s="2"/>
      <c r="AJ23" s="2"/>
      <c r="AK23" s="2"/>
    </row>
    <row r="24" spans="1:37">
      <c r="A24" s="1">
        <v>21</v>
      </c>
      <c r="B24" s="70" t="str">
        <f>(PRECIOS!B24)</f>
        <v>JAMÓN DE PECHUGA DE PAVO</v>
      </c>
      <c r="C24" s="93">
        <f>SUM('ORDENES '!D23)</f>
        <v>1.88</v>
      </c>
      <c r="D24" s="94">
        <f>SUM('ORDENES '!E23)</f>
        <v>0</v>
      </c>
      <c r="E24" s="93">
        <f>SUM('ORDENES '!F23)</f>
        <v>0</v>
      </c>
      <c r="F24" s="94">
        <f>SUM('ORDENES '!G23)</f>
        <v>0</v>
      </c>
      <c r="G24" s="93">
        <f>SUM('ORDENES '!H23)</f>
        <v>0</v>
      </c>
      <c r="H24" s="94">
        <f>SUM('ORDENES '!I23)</f>
        <v>0</v>
      </c>
      <c r="I24" s="93">
        <f>SUM('ORDENES '!J23)</f>
        <v>0</v>
      </c>
      <c r="J24" s="9">
        <f t="shared" si="4"/>
        <v>1.88</v>
      </c>
      <c r="K24" s="66">
        <f t="shared" si="0"/>
        <v>112.8</v>
      </c>
      <c r="L24" s="5">
        <f t="shared" si="5"/>
        <v>263.2</v>
      </c>
      <c r="M24" s="66">
        <f t="shared" si="6"/>
        <v>0</v>
      </c>
      <c r="N24" s="5">
        <f t="shared" si="7"/>
        <v>0</v>
      </c>
      <c r="O24" s="66">
        <f t="shared" si="8"/>
        <v>0</v>
      </c>
      <c r="P24" s="5">
        <f t="shared" si="9"/>
        <v>0</v>
      </c>
      <c r="Q24" s="66">
        <f t="shared" si="10"/>
        <v>0</v>
      </c>
      <c r="R24" s="5">
        <f t="shared" si="11"/>
        <v>0</v>
      </c>
      <c r="S24" s="66">
        <f t="shared" si="12"/>
        <v>0</v>
      </c>
      <c r="T24" s="5">
        <f t="shared" si="13"/>
        <v>0</v>
      </c>
      <c r="U24" s="66">
        <f t="shared" si="14"/>
        <v>0</v>
      </c>
      <c r="V24" s="5">
        <f t="shared" si="15"/>
        <v>0</v>
      </c>
      <c r="W24" s="66">
        <f t="shared" si="16"/>
        <v>0</v>
      </c>
      <c r="X24" s="5">
        <f t="shared" si="17"/>
        <v>0</v>
      </c>
      <c r="Y24" s="10">
        <f>SUM(PRECIOS!C24)</f>
        <v>60</v>
      </c>
      <c r="Z24" s="11">
        <f>SUM(PRECIOS!D24)</f>
        <v>140</v>
      </c>
      <c r="AA24" s="20">
        <f t="shared" si="1"/>
        <v>112.8</v>
      </c>
      <c r="AB24" s="12">
        <f t="shared" si="2"/>
        <v>263.2</v>
      </c>
      <c r="AC24" s="13">
        <f t="shared" si="3"/>
        <v>150.39999999999998</v>
      </c>
      <c r="AD24" s="3"/>
      <c r="AE24" s="17"/>
      <c r="AF24" s="3"/>
      <c r="AG24" s="3"/>
      <c r="AH24" s="2"/>
      <c r="AI24" s="2"/>
      <c r="AJ24" s="2"/>
      <c r="AK24" s="2"/>
    </row>
    <row r="25" spans="1:37">
      <c r="A25" s="1">
        <v>22</v>
      </c>
      <c r="B25" s="70" t="str">
        <f>(PRECIOS!B25)</f>
        <v>MORTADELA</v>
      </c>
      <c r="C25" s="93">
        <f>SUM('ORDENES '!D24)</f>
        <v>0</v>
      </c>
      <c r="D25" s="94">
        <f>SUM('ORDENES '!E24)</f>
        <v>0</v>
      </c>
      <c r="E25" s="93">
        <f>SUM('ORDENES '!F24)</f>
        <v>0</v>
      </c>
      <c r="F25" s="94">
        <f>SUM('ORDENES '!G24)</f>
        <v>0</v>
      </c>
      <c r="G25" s="93">
        <f>SUM('ORDENES '!H24)</f>
        <v>0</v>
      </c>
      <c r="H25" s="94">
        <f>SUM('ORDENES '!I24)</f>
        <v>0</v>
      </c>
      <c r="I25" s="93">
        <f>SUM('ORDENES '!J24)</f>
        <v>0</v>
      </c>
      <c r="J25" s="9">
        <f t="shared" si="4"/>
        <v>0</v>
      </c>
      <c r="K25" s="66">
        <f t="shared" si="0"/>
        <v>0</v>
      </c>
      <c r="L25" s="5">
        <f t="shared" si="5"/>
        <v>0</v>
      </c>
      <c r="M25" s="66">
        <f t="shared" si="6"/>
        <v>0</v>
      </c>
      <c r="N25" s="5">
        <f t="shared" si="7"/>
        <v>0</v>
      </c>
      <c r="O25" s="66">
        <f t="shared" si="8"/>
        <v>0</v>
      </c>
      <c r="P25" s="5">
        <f t="shared" si="9"/>
        <v>0</v>
      </c>
      <c r="Q25" s="66">
        <f t="shared" si="10"/>
        <v>0</v>
      </c>
      <c r="R25" s="5">
        <f t="shared" si="11"/>
        <v>0</v>
      </c>
      <c r="S25" s="66">
        <f t="shared" si="12"/>
        <v>0</v>
      </c>
      <c r="T25" s="5">
        <f t="shared" si="13"/>
        <v>0</v>
      </c>
      <c r="U25" s="66">
        <f t="shared" si="14"/>
        <v>0</v>
      </c>
      <c r="V25" s="5">
        <f t="shared" si="15"/>
        <v>0</v>
      </c>
      <c r="W25" s="66">
        <f t="shared" si="16"/>
        <v>0</v>
      </c>
      <c r="X25" s="5">
        <f t="shared" si="17"/>
        <v>0</v>
      </c>
      <c r="Y25" s="10">
        <f>SUM(PRECIOS!C25)</f>
        <v>28</v>
      </c>
      <c r="Z25" s="11">
        <f>SUM(PRECIOS!D25)</f>
        <v>40</v>
      </c>
      <c r="AA25" s="20">
        <f t="shared" si="1"/>
        <v>0</v>
      </c>
      <c r="AB25" s="12">
        <f t="shared" si="2"/>
        <v>0</v>
      </c>
      <c r="AC25" s="13">
        <f t="shared" si="3"/>
        <v>0</v>
      </c>
      <c r="AD25" s="3"/>
      <c r="AE25" s="17"/>
      <c r="AF25" s="3"/>
      <c r="AG25" s="3"/>
      <c r="AH25" s="2"/>
      <c r="AI25" s="2"/>
      <c r="AJ25" s="2"/>
      <c r="AK25" s="2"/>
    </row>
    <row r="26" spans="1:37">
      <c r="A26" s="1">
        <v>23</v>
      </c>
      <c r="B26" s="70" t="str">
        <f>(PRECIOS!B26)</f>
        <v>SALCHICHA DE CERDO VIENA</v>
      </c>
      <c r="C26" s="93">
        <f>SUM('ORDENES '!D25)</f>
        <v>0</v>
      </c>
      <c r="D26" s="94">
        <f>SUM('ORDENES '!E25)</f>
        <v>0</v>
      </c>
      <c r="E26" s="93">
        <f>SUM('ORDENES '!F25)</f>
        <v>3</v>
      </c>
      <c r="F26" s="94">
        <f>SUM('ORDENES '!G25)</f>
        <v>0</v>
      </c>
      <c r="G26" s="93">
        <f>SUM('ORDENES '!H25)</f>
        <v>2.5</v>
      </c>
      <c r="H26" s="94">
        <f>SUM('ORDENES '!I25)</f>
        <v>0</v>
      </c>
      <c r="I26" s="93">
        <f>SUM('ORDENES '!J25)</f>
        <v>0</v>
      </c>
      <c r="J26" s="9">
        <f t="shared" si="4"/>
        <v>5.5</v>
      </c>
      <c r="K26" s="66">
        <f t="shared" si="0"/>
        <v>0</v>
      </c>
      <c r="L26" s="5">
        <f t="shared" si="5"/>
        <v>0</v>
      </c>
      <c r="M26" s="66">
        <f t="shared" si="6"/>
        <v>0</v>
      </c>
      <c r="N26" s="5">
        <f t="shared" si="7"/>
        <v>0</v>
      </c>
      <c r="O26" s="66">
        <f t="shared" si="8"/>
        <v>96</v>
      </c>
      <c r="P26" s="5">
        <f t="shared" si="9"/>
        <v>120</v>
      </c>
      <c r="Q26" s="66">
        <f t="shared" si="10"/>
        <v>0</v>
      </c>
      <c r="R26" s="5">
        <f t="shared" si="11"/>
        <v>0</v>
      </c>
      <c r="S26" s="66">
        <f t="shared" si="12"/>
        <v>80</v>
      </c>
      <c r="T26" s="5">
        <f t="shared" si="13"/>
        <v>100</v>
      </c>
      <c r="U26" s="66">
        <f t="shared" si="14"/>
        <v>0</v>
      </c>
      <c r="V26" s="5">
        <f t="shared" si="15"/>
        <v>0</v>
      </c>
      <c r="W26" s="66">
        <f t="shared" si="16"/>
        <v>0</v>
      </c>
      <c r="X26" s="5">
        <f t="shared" si="17"/>
        <v>0</v>
      </c>
      <c r="Y26" s="10">
        <f>SUM(PRECIOS!C26)</f>
        <v>32</v>
      </c>
      <c r="Z26" s="11">
        <f>SUM(PRECIOS!D26)</f>
        <v>40</v>
      </c>
      <c r="AA26" s="20">
        <f t="shared" si="1"/>
        <v>176</v>
      </c>
      <c r="AB26" s="12">
        <f t="shared" si="2"/>
        <v>220</v>
      </c>
      <c r="AC26" s="13">
        <f t="shared" si="3"/>
        <v>44</v>
      </c>
      <c r="AD26" s="3"/>
      <c r="AE26" s="17"/>
      <c r="AF26" s="3"/>
      <c r="AG26" s="3"/>
      <c r="AH26" s="2"/>
      <c r="AI26" s="2"/>
      <c r="AJ26" s="2"/>
      <c r="AK26" s="2"/>
    </row>
    <row r="27" spans="1:37">
      <c r="A27" s="1">
        <v>24</v>
      </c>
      <c r="B27" s="70" t="str">
        <f>(PRECIOS!B27)</f>
        <v>SALCHICHA DE PAVO VIENA</v>
      </c>
      <c r="C27" s="93">
        <f>SUM('ORDENES '!D26)</f>
        <v>1.72</v>
      </c>
      <c r="D27" s="94">
        <f>SUM('ORDENES '!E26)</f>
        <v>0</v>
      </c>
      <c r="E27" s="93">
        <f>SUM('ORDENES '!F26)</f>
        <v>6</v>
      </c>
      <c r="F27" s="94">
        <f>SUM('ORDENES '!G26)</f>
        <v>0</v>
      </c>
      <c r="G27" s="93">
        <f>SUM('ORDENES '!H26)</f>
        <v>0</v>
      </c>
      <c r="H27" s="94">
        <f>SUM('ORDENES '!I26)</f>
        <v>0</v>
      </c>
      <c r="I27" s="93">
        <f>SUM('ORDENES '!J26)</f>
        <v>0</v>
      </c>
      <c r="J27" s="9">
        <f t="shared" si="4"/>
        <v>7.72</v>
      </c>
      <c r="K27" s="66">
        <f t="shared" ref="K27:K28" si="36">SUM(C27*Y27)</f>
        <v>65.36</v>
      </c>
      <c r="L27" s="5">
        <f t="shared" si="5"/>
        <v>86</v>
      </c>
      <c r="M27" s="66">
        <f t="shared" si="6"/>
        <v>0</v>
      </c>
      <c r="N27" s="5">
        <f t="shared" si="7"/>
        <v>0</v>
      </c>
      <c r="O27" s="66">
        <f t="shared" si="8"/>
        <v>228</v>
      </c>
      <c r="P27" s="5">
        <f t="shared" si="9"/>
        <v>300</v>
      </c>
      <c r="Q27" s="66">
        <f t="shared" si="10"/>
        <v>0</v>
      </c>
      <c r="R27" s="5">
        <f t="shared" si="11"/>
        <v>0</v>
      </c>
      <c r="S27" s="66">
        <f t="shared" si="12"/>
        <v>0</v>
      </c>
      <c r="T27" s="5">
        <f t="shared" si="13"/>
        <v>0</v>
      </c>
      <c r="U27" s="66">
        <f t="shared" si="14"/>
        <v>0</v>
      </c>
      <c r="V27" s="5">
        <f t="shared" si="15"/>
        <v>0</v>
      </c>
      <c r="W27" s="66">
        <f t="shared" si="16"/>
        <v>0</v>
      </c>
      <c r="X27" s="5">
        <f t="shared" si="17"/>
        <v>0</v>
      </c>
      <c r="Y27" s="10">
        <f>SUM(PRECIOS!C27)</f>
        <v>38</v>
      </c>
      <c r="Z27" s="11">
        <f>SUM(PRECIOS!D27)</f>
        <v>50</v>
      </c>
      <c r="AA27" s="20">
        <f t="shared" si="1"/>
        <v>293.36</v>
      </c>
      <c r="AB27" s="12">
        <f t="shared" si="2"/>
        <v>386</v>
      </c>
      <c r="AC27" s="13">
        <f t="shared" si="3"/>
        <v>92.639999999999986</v>
      </c>
      <c r="AD27" s="3"/>
      <c r="AE27" s="17"/>
      <c r="AF27" s="3"/>
      <c r="AG27" s="3"/>
      <c r="AH27" s="2"/>
      <c r="AI27" s="2"/>
      <c r="AJ27" s="2"/>
      <c r="AK27" s="2"/>
    </row>
    <row r="28" spans="1:37">
      <c r="A28" s="1">
        <v>25</v>
      </c>
      <c r="B28" s="70" t="str">
        <f>(PRECIOS!B28)</f>
        <v>TOCINO</v>
      </c>
      <c r="C28" s="93">
        <f>SUM('ORDENES '!D27)</f>
        <v>0.55000000000000004</v>
      </c>
      <c r="D28" s="94">
        <f>SUM('ORDENES '!E27)</f>
        <v>0</v>
      </c>
      <c r="E28" s="93">
        <f>SUM('ORDENES '!F27)</f>
        <v>1</v>
      </c>
      <c r="F28" s="94">
        <f>SUM('ORDENES '!G27)</f>
        <v>0</v>
      </c>
      <c r="G28" s="93">
        <f>SUM('ORDENES '!H27)</f>
        <v>0</v>
      </c>
      <c r="H28" s="94">
        <f>SUM('ORDENES '!I27)</f>
        <v>0.6</v>
      </c>
      <c r="I28" s="93">
        <f>SUM('ORDENES '!J27)</f>
        <v>0</v>
      </c>
      <c r="J28" s="9">
        <f t="shared" si="4"/>
        <v>2.15</v>
      </c>
      <c r="K28" s="66">
        <f t="shared" si="36"/>
        <v>49.500000000000007</v>
      </c>
      <c r="L28" s="5">
        <f t="shared" si="5"/>
        <v>77</v>
      </c>
      <c r="M28" s="66">
        <f t="shared" si="6"/>
        <v>0</v>
      </c>
      <c r="N28" s="5">
        <f t="shared" si="7"/>
        <v>0</v>
      </c>
      <c r="O28" s="66">
        <f t="shared" si="8"/>
        <v>90</v>
      </c>
      <c r="P28" s="5">
        <f t="shared" si="9"/>
        <v>140</v>
      </c>
      <c r="Q28" s="66">
        <f t="shared" si="10"/>
        <v>0</v>
      </c>
      <c r="R28" s="5">
        <f t="shared" si="11"/>
        <v>0</v>
      </c>
      <c r="S28" s="66">
        <f t="shared" si="12"/>
        <v>0</v>
      </c>
      <c r="T28" s="5">
        <f t="shared" si="13"/>
        <v>0</v>
      </c>
      <c r="U28" s="66">
        <f t="shared" si="14"/>
        <v>54</v>
      </c>
      <c r="V28" s="5">
        <f t="shared" si="15"/>
        <v>84</v>
      </c>
      <c r="W28" s="66">
        <f t="shared" si="16"/>
        <v>0</v>
      </c>
      <c r="X28" s="5">
        <f t="shared" si="17"/>
        <v>0</v>
      </c>
      <c r="Y28" s="10">
        <f>SUM(PRECIOS!C28)</f>
        <v>90</v>
      </c>
      <c r="Z28" s="11">
        <f>SUM(PRECIOS!D28)</f>
        <v>140</v>
      </c>
      <c r="AA28" s="20">
        <f t="shared" si="1"/>
        <v>193.5</v>
      </c>
      <c r="AB28" s="12">
        <f t="shared" si="2"/>
        <v>301</v>
      </c>
      <c r="AC28" s="13">
        <f t="shared" si="3"/>
        <v>107.5</v>
      </c>
      <c r="AD28" s="3"/>
      <c r="AE28" s="17"/>
      <c r="AF28" s="3"/>
      <c r="AG28" s="3"/>
      <c r="AH28" s="2"/>
      <c r="AI28" s="2"/>
      <c r="AJ28" s="2"/>
      <c r="AK28" s="2"/>
    </row>
    <row r="29" spans="1:37">
      <c r="A29" s="73"/>
      <c r="B29" s="68"/>
      <c r="C29" s="3"/>
      <c r="D29" s="3"/>
      <c r="E29" s="3"/>
      <c r="F29" s="3"/>
      <c r="G29" s="3"/>
      <c r="H29" s="3"/>
      <c r="I29" s="3"/>
      <c r="J29" s="19">
        <f t="shared" ref="J29:Q29" si="37">SUM(J4:J28)</f>
        <v>574.70999999999992</v>
      </c>
      <c r="K29" s="20">
        <f t="shared" si="37"/>
        <v>4828.4150000000009</v>
      </c>
      <c r="L29" s="15">
        <f t="shared" si="37"/>
        <v>8528.42</v>
      </c>
      <c r="M29" s="20">
        <f t="shared" si="37"/>
        <v>4290.5460000000003</v>
      </c>
      <c r="N29" s="15">
        <f t="shared" si="37"/>
        <v>7023.83</v>
      </c>
      <c r="O29" s="20">
        <f t="shared" si="37"/>
        <v>5488.4059999999999</v>
      </c>
      <c r="P29" s="15">
        <f t="shared" si="37"/>
        <v>8334.4000000000015</v>
      </c>
      <c r="Q29" s="20">
        <f t="shared" si="37"/>
        <v>6091.6070000000009</v>
      </c>
      <c r="R29" s="15">
        <f t="shared" ref="R29:X29" si="38">SUM(R4:R28)</f>
        <v>9271.6</v>
      </c>
      <c r="S29" s="20">
        <f t="shared" si="38"/>
        <v>5158.7899999999991</v>
      </c>
      <c r="T29" s="15">
        <f t="shared" si="38"/>
        <v>8805</v>
      </c>
      <c r="U29" s="20">
        <f t="shared" si="38"/>
        <v>6812.1449999999986</v>
      </c>
      <c r="V29" s="15">
        <f t="shared" si="38"/>
        <v>11115.73</v>
      </c>
      <c r="W29" s="20">
        <f t="shared" si="38"/>
        <v>4326.3629999999994</v>
      </c>
      <c r="X29" s="15">
        <f t="shared" si="38"/>
        <v>8334.1200000000008</v>
      </c>
      <c r="Y29" s="18"/>
      <c r="Z29" s="18"/>
      <c r="AA29" s="14">
        <f>SUM(K29,M29,O29,Q29,S29,U29,W29)</f>
        <v>36996.271999999997</v>
      </c>
      <c r="AB29" s="76">
        <f>SUM(L29,N29,P29,R29,T29,V29,X29)</f>
        <v>61413.1</v>
      </c>
      <c r="AC29" s="76">
        <f>SUM(AB29-AA29)</f>
        <v>24416.828000000001</v>
      </c>
      <c r="AD29" s="3"/>
      <c r="AE29" s="17"/>
      <c r="AF29" s="3"/>
      <c r="AG29" s="3"/>
      <c r="AH29" s="2"/>
      <c r="AI29" s="2"/>
      <c r="AJ29" s="2"/>
      <c r="AK29" s="2"/>
    </row>
    <row r="30" spans="1:37">
      <c r="A30" s="73"/>
      <c r="B30" s="68"/>
      <c r="C30" s="3"/>
      <c r="D30" s="3"/>
      <c r="E30" s="3"/>
      <c r="F30" s="3"/>
      <c r="G30" s="3"/>
      <c r="H30" s="3"/>
      <c r="I30" s="3"/>
      <c r="J30" s="3"/>
      <c r="K30" s="74"/>
      <c r="L30" s="18"/>
      <c r="M30" s="74"/>
      <c r="N30" s="18"/>
      <c r="O30" s="74"/>
      <c r="P30" s="18"/>
      <c r="Q30" s="74"/>
      <c r="R30" s="18"/>
      <c r="S30" s="74"/>
      <c r="T30" s="18"/>
      <c r="U30" s="74"/>
      <c r="V30" s="18"/>
      <c r="W30" s="74"/>
      <c r="X30" s="18"/>
      <c r="Y30" s="18"/>
      <c r="Z30" s="18"/>
      <c r="AA30" s="18"/>
      <c r="AB30" s="18"/>
      <c r="AC30" s="18"/>
      <c r="AD30" s="3"/>
      <c r="AE30" s="17"/>
      <c r="AF30" s="3"/>
      <c r="AG30" s="3"/>
      <c r="AH30" s="2"/>
      <c r="AI30" s="2"/>
      <c r="AJ30" s="2"/>
      <c r="AK30" s="2"/>
    </row>
    <row r="31" spans="1:37">
      <c r="A31" s="73"/>
      <c r="B31" s="68"/>
      <c r="C31" s="3"/>
      <c r="D31" s="3"/>
      <c r="E31" s="3"/>
      <c r="F31" s="3"/>
      <c r="G31" s="3"/>
      <c r="H31" s="3"/>
      <c r="I31" s="3"/>
      <c r="J31" s="3"/>
      <c r="K31" s="74"/>
      <c r="L31" s="18"/>
      <c r="M31" s="74"/>
      <c r="N31" s="18"/>
      <c r="O31" s="74"/>
      <c r="P31" s="18"/>
      <c r="Q31" s="74"/>
      <c r="R31" s="18"/>
      <c r="S31" s="74"/>
      <c r="T31" s="18"/>
      <c r="U31" s="74"/>
      <c r="V31" s="18"/>
      <c r="W31" s="74"/>
      <c r="X31" s="18"/>
      <c r="Y31" s="18"/>
      <c r="Z31" s="18"/>
      <c r="AA31" s="18"/>
      <c r="AB31" s="18"/>
      <c r="AC31" s="18"/>
      <c r="AD31" s="3"/>
      <c r="AE31" s="17"/>
      <c r="AF31" s="3"/>
      <c r="AG31" s="3"/>
      <c r="AH31" s="2"/>
      <c r="AI31" s="2"/>
      <c r="AJ31" s="2"/>
      <c r="AK31" s="2"/>
    </row>
    <row r="32" spans="1:37">
      <c r="A32" s="73"/>
      <c r="B32" s="68"/>
      <c r="C32" s="3"/>
      <c r="D32" s="3"/>
      <c r="E32" s="3"/>
      <c r="F32" s="3"/>
      <c r="G32" s="3"/>
      <c r="H32" s="3"/>
      <c r="I32" s="3"/>
      <c r="J32" s="3"/>
      <c r="K32" s="74"/>
      <c r="L32" s="18"/>
      <c r="M32" s="74"/>
      <c r="N32" s="18"/>
      <c r="O32" s="74"/>
      <c r="P32" s="18"/>
      <c r="Q32" s="74"/>
      <c r="R32" s="18"/>
      <c r="S32" s="74"/>
      <c r="T32" s="18"/>
      <c r="U32" s="74"/>
      <c r="V32" s="18"/>
      <c r="W32" s="74"/>
      <c r="X32" s="18"/>
      <c r="Y32" s="18"/>
      <c r="Z32" s="18"/>
      <c r="AA32" s="18"/>
      <c r="AB32" s="18"/>
      <c r="AC32" s="18"/>
      <c r="AD32" s="3"/>
      <c r="AE32" s="17"/>
      <c r="AF32" s="3"/>
      <c r="AG32" s="3"/>
      <c r="AH32" s="2"/>
      <c r="AI32" s="2"/>
      <c r="AJ32" s="2"/>
      <c r="AK32" s="2"/>
    </row>
    <row r="33" spans="1:37">
      <c r="A33" s="73"/>
      <c r="B33" s="69"/>
      <c r="C33" s="3"/>
      <c r="D33" s="3"/>
      <c r="E33" s="3"/>
      <c r="F33" s="3"/>
      <c r="G33" s="3"/>
      <c r="H33" s="3"/>
      <c r="I33" s="3"/>
      <c r="J33" s="3"/>
      <c r="K33" s="74"/>
      <c r="L33" s="18"/>
      <c r="M33" s="74"/>
      <c r="N33" s="18"/>
      <c r="O33" s="74"/>
      <c r="P33" s="18"/>
      <c r="Q33" s="74"/>
      <c r="R33" s="18"/>
      <c r="S33" s="74"/>
      <c r="T33" s="18"/>
      <c r="U33" s="74"/>
      <c r="V33" s="18"/>
      <c r="W33" s="74"/>
      <c r="X33" s="18"/>
      <c r="Y33" s="18"/>
      <c r="Z33" s="18"/>
      <c r="AA33" s="18"/>
      <c r="AB33" s="18"/>
      <c r="AC33" s="18"/>
      <c r="AD33" s="3"/>
      <c r="AE33" s="17"/>
      <c r="AF33" s="3"/>
      <c r="AG33" s="3"/>
      <c r="AH33" s="2"/>
      <c r="AI33" s="2"/>
      <c r="AJ33" s="2"/>
      <c r="AK33" s="2"/>
    </row>
    <row r="34" spans="1:37">
      <c r="A34" s="73"/>
      <c r="B34" s="69"/>
      <c r="C34" s="3"/>
      <c r="D34" s="3"/>
      <c r="E34" s="3"/>
      <c r="F34" s="3"/>
      <c r="G34" s="3"/>
      <c r="H34" s="3"/>
      <c r="I34" s="3"/>
      <c r="J34" s="3"/>
      <c r="K34" s="74"/>
      <c r="L34" s="18"/>
      <c r="M34" s="74"/>
      <c r="N34" s="18"/>
      <c r="O34" s="74"/>
      <c r="P34" s="18"/>
      <c r="Q34" s="74"/>
      <c r="R34" s="18"/>
      <c r="S34" s="74"/>
      <c r="T34" s="18"/>
      <c r="U34" s="74"/>
      <c r="V34" s="18"/>
      <c r="W34" s="74"/>
      <c r="X34" s="18"/>
      <c r="Y34" s="18"/>
      <c r="Z34" s="18"/>
      <c r="AA34" s="18"/>
      <c r="AB34" s="18"/>
      <c r="AC34" s="18"/>
      <c r="AD34" s="3"/>
      <c r="AE34" s="17"/>
      <c r="AF34" s="3"/>
      <c r="AG34" s="3"/>
      <c r="AH34" s="2"/>
      <c r="AI34" s="2"/>
      <c r="AJ34" s="2"/>
      <c r="AK34" s="2"/>
    </row>
    <row r="35" spans="1:37">
      <c r="A35" s="73"/>
      <c r="B35" s="68"/>
      <c r="C35" s="3"/>
      <c r="D35" s="3"/>
      <c r="E35" s="3"/>
      <c r="F35" s="3"/>
      <c r="G35" s="3"/>
      <c r="H35" s="3"/>
      <c r="I35" s="3"/>
      <c r="J35" s="3"/>
      <c r="K35" s="74"/>
      <c r="L35" s="18"/>
      <c r="M35" s="74"/>
      <c r="N35" s="18"/>
      <c r="O35" s="74"/>
      <c r="P35" s="18"/>
      <c r="Q35" s="74"/>
      <c r="R35" s="18"/>
      <c r="S35" s="74"/>
      <c r="T35" s="18"/>
      <c r="U35" s="74"/>
      <c r="V35" s="18"/>
      <c r="W35" s="74"/>
      <c r="X35" s="18"/>
      <c r="Y35" s="18"/>
      <c r="Z35" s="18"/>
      <c r="AA35" s="18"/>
      <c r="AB35" s="18"/>
      <c r="AC35" s="18"/>
      <c r="AD35" s="3"/>
      <c r="AE35" s="17"/>
      <c r="AF35" s="3"/>
      <c r="AG35" s="3"/>
      <c r="AH35" s="2"/>
      <c r="AI35" s="2"/>
      <c r="AJ35" s="2"/>
      <c r="AK35" s="2"/>
    </row>
    <row r="36" spans="1:37">
      <c r="A36" s="73"/>
      <c r="B36" s="68"/>
      <c r="C36" s="3"/>
      <c r="D36" s="3"/>
      <c r="E36" s="3"/>
      <c r="F36" s="3"/>
      <c r="G36" s="3"/>
      <c r="H36" s="3"/>
      <c r="I36" s="3"/>
      <c r="J36" s="3"/>
      <c r="K36" s="74"/>
      <c r="L36" s="18"/>
      <c r="M36" s="74"/>
      <c r="N36" s="18"/>
      <c r="O36" s="74"/>
      <c r="P36" s="18"/>
      <c r="Q36" s="74"/>
      <c r="R36" s="18"/>
      <c r="S36" s="74"/>
      <c r="T36" s="18"/>
      <c r="U36" s="74"/>
      <c r="V36" s="18"/>
      <c r="W36" s="74"/>
      <c r="X36" s="18"/>
      <c r="Y36" s="18"/>
      <c r="Z36" s="18"/>
      <c r="AA36" s="18"/>
      <c r="AB36" s="18"/>
      <c r="AC36" s="18"/>
      <c r="AD36" s="3"/>
      <c r="AE36" s="17"/>
      <c r="AF36" s="3"/>
      <c r="AG36" s="3"/>
      <c r="AH36" s="2"/>
      <c r="AI36" s="2"/>
      <c r="AJ36" s="2"/>
      <c r="AK36" s="2"/>
    </row>
    <row r="37" spans="1:37">
      <c r="A37" s="73"/>
      <c r="B37" s="68"/>
      <c r="C37" s="3"/>
      <c r="D37" s="3"/>
      <c r="E37" s="3"/>
      <c r="F37" s="3"/>
      <c r="G37" s="3"/>
      <c r="H37" s="3"/>
      <c r="I37" s="3"/>
      <c r="J37" s="3"/>
      <c r="K37" s="74"/>
      <c r="L37" s="18"/>
      <c r="M37" s="74"/>
      <c r="N37" s="18"/>
      <c r="O37" s="74"/>
      <c r="P37" s="18"/>
      <c r="Q37" s="74"/>
      <c r="R37" s="18"/>
      <c r="S37" s="74"/>
      <c r="T37" s="18"/>
      <c r="U37" s="74"/>
      <c r="V37" s="18"/>
      <c r="W37" s="74"/>
      <c r="X37" s="18"/>
      <c r="Y37" s="18"/>
      <c r="Z37" s="18"/>
      <c r="AA37" s="18"/>
      <c r="AB37" s="18"/>
      <c r="AC37" s="18"/>
      <c r="AD37" s="3"/>
      <c r="AE37" s="17"/>
      <c r="AF37" s="3"/>
      <c r="AG37" s="3"/>
      <c r="AH37" s="2"/>
      <c r="AI37" s="2"/>
      <c r="AJ37" s="2"/>
      <c r="AK37" s="2"/>
    </row>
    <row r="38" spans="1:37">
      <c r="A38" s="73"/>
      <c r="B38" s="68"/>
      <c r="C38" s="3"/>
      <c r="D38" s="3"/>
      <c r="E38" s="3"/>
      <c r="F38" s="3"/>
      <c r="G38" s="3"/>
      <c r="H38" s="3"/>
      <c r="I38" s="3"/>
      <c r="J38" s="3"/>
      <c r="K38" s="74"/>
      <c r="L38" s="18"/>
      <c r="M38" s="74"/>
      <c r="N38" s="18"/>
      <c r="O38" s="74"/>
      <c r="P38" s="18"/>
      <c r="Q38" s="74"/>
      <c r="R38" s="18"/>
      <c r="S38" s="74"/>
      <c r="T38" s="18"/>
      <c r="U38" s="74"/>
      <c r="V38" s="18"/>
      <c r="W38" s="74"/>
      <c r="X38" s="18"/>
      <c r="Y38" s="18"/>
      <c r="Z38" s="18"/>
      <c r="AA38" s="18"/>
      <c r="AB38" s="18"/>
      <c r="AC38" s="18"/>
      <c r="AD38" s="3"/>
      <c r="AE38" s="17"/>
      <c r="AF38" s="3"/>
      <c r="AG38" s="3"/>
      <c r="AH38" s="2"/>
      <c r="AI38" s="2"/>
      <c r="AJ38" s="2"/>
      <c r="AK38" s="2"/>
    </row>
    <row r="39" spans="1:37">
      <c r="A39" s="73"/>
      <c r="B39" s="68"/>
      <c r="C39" s="3"/>
      <c r="D39" s="3"/>
      <c r="E39" s="3"/>
      <c r="F39" s="3"/>
      <c r="G39" s="3"/>
      <c r="H39" s="3"/>
      <c r="I39" s="3"/>
      <c r="J39" s="3"/>
      <c r="K39" s="74"/>
      <c r="L39" s="18"/>
      <c r="M39" s="74"/>
      <c r="N39" s="18"/>
      <c r="O39" s="74"/>
      <c r="P39" s="18"/>
      <c r="Q39" s="74"/>
      <c r="R39" s="18"/>
      <c r="S39" s="74"/>
      <c r="T39" s="18"/>
      <c r="U39" s="74"/>
      <c r="V39" s="18"/>
      <c r="W39" s="74"/>
      <c r="X39" s="18"/>
      <c r="Y39" s="18"/>
      <c r="Z39" s="18"/>
      <c r="AA39" s="18"/>
      <c r="AB39" s="18"/>
      <c r="AC39" s="18"/>
      <c r="AD39" s="3"/>
      <c r="AE39" s="17"/>
      <c r="AF39" s="3"/>
      <c r="AG39" s="3"/>
      <c r="AH39" s="2"/>
      <c r="AI39" s="2"/>
      <c r="AJ39" s="2"/>
      <c r="AK39" s="2"/>
    </row>
    <row r="40" spans="1:37">
      <c r="A40" s="73"/>
      <c r="B40" s="68"/>
      <c r="C40" s="3"/>
      <c r="D40" s="3"/>
      <c r="E40" s="3"/>
      <c r="F40" s="3"/>
      <c r="G40" s="3"/>
      <c r="H40" s="3"/>
      <c r="I40" s="3"/>
      <c r="J40" s="3"/>
      <c r="K40" s="74"/>
      <c r="L40" s="18"/>
      <c r="M40" s="74"/>
      <c r="N40" s="18"/>
      <c r="O40" s="74"/>
      <c r="P40" s="18"/>
      <c r="Q40" s="74"/>
      <c r="R40" s="18"/>
      <c r="S40" s="74"/>
      <c r="T40" s="18"/>
      <c r="U40" s="74"/>
      <c r="V40" s="18"/>
      <c r="W40" s="74"/>
      <c r="X40" s="18"/>
      <c r="Y40" s="18"/>
      <c r="Z40" s="18"/>
      <c r="AA40" s="18"/>
      <c r="AB40" s="18"/>
      <c r="AC40" s="18"/>
      <c r="AD40" s="3"/>
      <c r="AE40" s="17"/>
      <c r="AF40" s="3"/>
      <c r="AG40" s="3"/>
      <c r="AH40" s="2"/>
      <c r="AI40" s="2"/>
      <c r="AJ40" s="2"/>
      <c r="AK40" s="2"/>
    </row>
    <row r="41" spans="1:37">
      <c r="A41" s="73"/>
      <c r="B41" s="68"/>
      <c r="C41" s="3"/>
      <c r="D41" s="3"/>
      <c r="E41" s="3"/>
      <c r="F41" s="3"/>
      <c r="G41" s="3"/>
      <c r="H41" s="3"/>
      <c r="I41" s="3"/>
      <c r="J41" s="3"/>
      <c r="K41" s="74"/>
      <c r="L41" s="18"/>
      <c r="M41" s="74"/>
      <c r="N41" s="18"/>
      <c r="O41" s="74"/>
      <c r="P41" s="18"/>
      <c r="Q41" s="74"/>
      <c r="R41" s="18"/>
      <c r="S41" s="74"/>
      <c r="T41" s="18"/>
      <c r="U41" s="74"/>
      <c r="V41" s="18"/>
      <c r="W41" s="74"/>
      <c r="X41" s="18"/>
      <c r="Y41" s="18"/>
      <c r="Z41" s="18"/>
      <c r="AA41" s="18"/>
      <c r="AB41" s="18"/>
      <c r="AC41" s="18"/>
      <c r="AD41" s="3"/>
      <c r="AE41" s="17"/>
      <c r="AF41" s="3"/>
      <c r="AG41" s="3"/>
      <c r="AH41" s="2"/>
      <c r="AI41" s="2"/>
      <c r="AJ41" s="2"/>
      <c r="AK41" s="2"/>
    </row>
    <row r="42" spans="1:37">
      <c r="A42" s="73"/>
      <c r="B42" s="68"/>
      <c r="C42" s="3"/>
      <c r="D42" s="3"/>
      <c r="E42" s="3"/>
      <c r="F42" s="3"/>
      <c r="G42" s="3"/>
      <c r="H42" s="3"/>
      <c r="I42" s="3"/>
      <c r="J42" s="3"/>
      <c r="K42" s="74"/>
      <c r="L42" s="18"/>
      <c r="M42" s="74"/>
      <c r="N42" s="18"/>
      <c r="O42" s="74"/>
      <c r="P42" s="18"/>
      <c r="Q42" s="74"/>
      <c r="R42" s="18"/>
      <c r="S42" s="74"/>
      <c r="T42" s="18"/>
      <c r="U42" s="74"/>
      <c r="V42" s="18"/>
      <c r="W42" s="74"/>
      <c r="X42" s="18"/>
      <c r="Y42" s="18"/>
      <c r="Z42" s="18"/>
      <c r="AA42" s="18"/>
      <c r="AB42" s="18"/>
      <c r="AC42" s="18"/>
      <c r="AD42" s="3"/>
      <c r="AE42" s="17"/>
      <c r="AF42" s="3"/>
      <c r="AG42" s="3"/>
      <c r="AH42" s="2"/>
      <c r="AI42" s="2"/>
      <c r="AJ42" s="2"/>
      <c r="AK42" s="2"/>
    </row>
    <row r="43" spans="1:37">
      <c r="A43" s="73"/>
      <c r="B43" s="68"/>
      <c r="C43" s="3"/>
      <c r="D43" s="3"/>
      <c r="E43" s="3"/>
      <c r="F43" s="3"/>
      <c r="G43" s="3"/>
      <c r="H43" s="3"/>
      <c r="I43" s="3"/>
      <c r="J43" s="3"/>
      <c r="K43" s="74"/>
      <c r="L43" s="18"/>
      <c r="M43" s="74"/>
      <c r="N43" s="18"/>
      <c r="O43" s="74"/>
      <c r="P43" s="18"/>
      <c r="Q43" s="74"/>
      <c r="R43" s="18"/>
      <c r="S43" s="74"/>
      <c r="T43" s="18"/>
      <c r="U43" s="74"/>
      <c r="V43" s="18"/>
      <c r="W43" s="74"/>
      <c r="X43" s="18"/>
      <c r="Y43" s="18"/>
      <c r="Z43" s="18"/>
      <c r="AA43" s="18"/>
      <c r="AB43" s="18"/>
      <c r="AC43" s="18"/>
      <c r="AD43" s="3"/>
      <c r="AE43" s="17"/>
      <c r="AF43" s="3"/>
      <c r="AG43" s="3"/>
      <c r="AH43" s="2"/>
      <c r="AI43" s="2"/>
      <c r="AJ43" s="2"/>
      <c r="AK43" s="2"/>
    </row>
    <row r="44" spans="1:37">
      <c r="A44" s="73"/>
      <c r="B44" s="68"/>
      <c r="C44" s="3"/>
      <c r="D44" s="3"/>
      <c r="E44" s="3"/>
      <c r="F44" s="3"/>
      <c r="G44" s="3"/>
      <c r="H44" s="3"/>
      <c r="I44" s="3"/>
      <c r="J44" s="3"/>
      <c r="K44" s="74"/>
      <c r="L44" s="18"/>
      <c r="M44" s="74"/>
      <c r="N44" s="18"/>
      <c r="O44" s="74"/>
      <c r="P44" s="18"/>
      <c r="Q44" s="74"/>
      <c r="R44" s="18"/>
      <c r="S44" s="74"/>
      <c r="T44" s="18"/>
      <c r="U44" s="74"/>
      <c r="V44" s="18"/>
      <c r="W44" s="74"/>
      <c r="X44" s="18"/>
      <c r="Y44" s="18"/>
      <c r="Z44" s="18"/>
      <c r="AA44" s="18"/>
      <c r="AB44" s="18"/>
      <c r="AC44" s="18"/>
      <c r="AD44" s="3"/>
      <c r="AE44" s="17"/>
      <c r="AF44" s="3"/>
      <c r="AG44" s="3"/>
      <c r="AH44" s="2"/>
      <c r="AI44" s="2"/>
      <c r="AJ44" s="2"/>
      <c r="AK44" s="2"/>
    </row>
    <row r="45" spans="1:37">
      <c r="A45" s="73"/>
      <c r="B45" s="68"/>
      <c r="C45" s="3"/>
      <c r="D45" s="3"/>
      <c r="E45" s="3"/>
      <c r="F45" s="3"/>
      <c r="G45" s="3"/>
      <c r="H45" s="3"/>
      <c r="I45" s="3"/>
      <c r="J45" s="3"/>
      <c r="K45" s="74"/>
      <c r="L45" s="18"/>
      <c r="M45" s="74"/>
      <c r="N45" s="18"/>
      <c r="O45" s="74"/>
      <c r="P45" s="18"/>
      <c r="Q45" s="74"/>
      <c r="R45" s="18"/>
      <c r="S45" s="74"/>
      <c r="T45" s="18"/>
      <c r="U45" s="74"/>
      <c r="V45" s="18"/>
      <c r="W45" s="74"/>
      <c r="X45" s="18"/>
      <c r="Y45" s="18"/>
      <c r="Z45" s="18"/>
      <c r="AA45" s="18"/>
      <c r="AB45" s="18"/>
      <c r="AC45" s="18"/>
      <c r="AD45" s="3"/>
      <c r="AE45" s="17"/>
      <c r="AF45" s="3"/>
      <c r="AG45" s="3"/>
      <c r="AH45" s="2"/>
      <c r="AI45" s="2"/>
      <c r="AJ45" s="2"/>
      <c r="AK45" s="2"/>
    </row>
    <row r="46" spans="1:37">
      <c r="A46" s="73"/>
      <c r="B46" s="68"/>
      <c r="C46" s="3"/>
      <c r="D46" s="3"/>
      <c r="E46" s="3"/>
      <c r="F46" s="3"/>
      <c r="G46" s="3"/>
      <c r="H46" s="3"/>
      <c r="I46" s="3"/>
      <c r="J46" s="3"/>
      <c r="K46" s="74"/>
      <c r="L46" s="18"/>
      <c r="M46" s="74"/>
      <c r="N46" s="18"/>
      <c r="O46" s="74"/>
      <c r="P46" s="18"/>
      <c r="Q46" s="74"/>
      <c r="R46" s="18"/>
      <c r="S46" s="74"/>
      <c r="T46" s="18"/>
      <c r="U46" s="74"/>
      <c r="V46" s="18"/>
      <c r="W46" s="74"/>
      <c r="X46" s="18"/>
      <c r="Y46" s="18"/>
      <c r="Z46" s="18"/>
      <c r="AA46" s="18"/>
      <c r="AB46" s="18"/>
      <c r="AC46" s="18"/>
      <c r="AD46" s="3"/>
      <c r="AE46" s="17"/>
      <c r="AF46" s="3"/>
      <c r="AG46" s="3"/>
      <c r="AH46" s="2"/>
      <c r="AI46" s="2"/>
      <c r="AJ46" s="2"/>
      <c r="AK46" s="2"/>
    </row>
    <row r="47" spans="1:37">
      <c r="A47" s="73"/>
      <c r="B47" s="69"/>
      <c r="C47" s="3"/>
      <c r="D47" s="3"/>
      <c r="E47" s="3"/>
      <c r="F47" s="3"/>
      <c r="G47" s="3"/>
      <c r="H47" s="3"/>
      <c r="I47" s="3"/>
      <c r="J47" s="3"/>
      <c r="K47" s="74"/>
      <c r="L47" s="18"/>
      <c r="M47" s="74"/>
      <c r="N47" s="18"/>
      <c r="O47" s="74"/>
      <c r="P47" s="18"/>
      <c r="Q47" s="74"/>
      <c r="R47" s="18"/>
      <c r="S47" s="74"/>
      <c r="T47" s="18"/>
      <c r="U47" s="74"/>
      <c r="V47" s="18"/>
      <c r="W47" s="74"/>
      <c r="X47" s="18"/>
      <c r="Y47" s="18"/>
      <c r="Z47" s="18"/>
      <c r="AA47" s="18"/>
      <c r="AB47" s="18"/>
      <c r="AC47" s="18"/>
      <c r="AD47" s="3"/>
      <c r="AE47" s="3"/>
      <c r="AF47" s="3"/>
      <c r="AG47" s="3"/>
      <c r="AH47" s="2"/>
      <c r="AI47" s="2"/>
      <c r="AJ47" s="2"/>
      <c r="AK47" s="2"/>
    </row>
    <row r="48" spans="1:37">
      <c r="A48" s="73"/>
      <c r="B48" s="69"/>
      <c r="C48" s="3"/>
      <c r="D48" s="3"/>
      <c r="E48" s="3"/>
      <c r="F48" s="3"/>
      <c r="G48" s="3"/>
      <c r="H48" s="3"/>
      <c r="I48" s="3"/>
      <c r="J48" s="3"/>
      <c r="K48" s="74"/>
      <c r="L48" s="18"/>
      <c r="M48" s="74"/>
      <c r="N48" s="18"/>
      <c r="O48" s="74"/>
      <c r="P48" s="18"/>
      <c r="Q48" s="74"/>
      <c r="R48" s="18"/>
      <c r="S48" s="74"/>
      <c r="T48" s="18"/>
      <c r="U48" s="74"/>
      <c r="V48" s="18"/>
      <c r="W48" s="74"/>
      <c r="X48" s="18"/>
      <c r="Y48" s="18"/>
      <c r="Z48" s="18"/>
      <c r="AA48" s="18"/>
      <c r="AB48" s="18"/>
      <c r="AC48" s="18"/>
      <c r="AD48" s="3"/>
      <c r="AE48" s="16"/>
      <c r="AF48" s="3"/>
      <c r="AG48" s="3"/>
      <c r="AH48" s="2"/>
      <c r="AI48" s="2"/>
      <c r="AJ48" s="2"/>
      <c r="AK48" s="2"/>
    </row>
    <row r="49" spans="1:37">
      <c r="A49" s="73"/>
      <c r="B49" s="68"/>
      <c r="C49" s="3"/>
      <c r="D49" s="3"/>
      <c r="E49" s="3"/>
      <c r="F49" s="3"/>
      <c r="G49" s="3"/>
      <c r="H49" s="3"/>
      <c r="I49" s="3"/>
      <c r="J49" s="3"/>
      <c r="K49" s="74"/>
      <c r="L49" s="18"/>
      <c r="M49" s="74"/>
      <c r="N49" s="18"/>
      <c r="O49" s="74"/>
      <c r="P49" s="18"/>
      <c r="Q49" s="74"/>
      <c r="R49" s="18"/>
      <c r="S49" s="74"/>
      <c r="T49" s="18"/>
      <c r="U49" s="74"/>
      <c r="V49" s="18"/>
      <c r="W49" s="74"/>
      <c r="X49" s="18"/>
      <c r="Y49" s="18"/>
      <c r="Z49" s="18"/>
      <c r="AA49" s="18"/>
      <c r="AB49" s="18"/>
      <c r="AC49" s="18"/>
      <c r="AD49" s="3"/>
      <c r="AE49" s="16"/>
      <c r="AF49" s="3"/>
      <c r="AG49" s="3"/>
      <c r="AH49" s="2"/>
      <c r="AI49" s="2"/>
      <c r="AJ49" s="2"/>
      <c r="AK49" s="2"/>
    </row>
    <row r="50" spans="1:37">
      <c r="A50" s="73"/>
      <c r="B50" s="68"/>
      <c r="C50" s="3"/>
      <c r="D50" s="3"/>
      <c r="E50" s="3"/>
      <c r="F50" s="3"/>
      <c r="G50" s="3"/>
      <c r="H50" s="3"/>
      <c r="I50" s="3"/>
      <c r="J50" s="3"/>
      <c r="K50" s="74"/>
      <c r="L50" s="18"/>
      <c r="M50" s="74"/>
      <c r="N50" s="18"/>
      <c r="O50" s="74"/>
      <c r="P50" s="18"/>
      <c r="Q50" s="74"/>
      <c r="R50" s="18"/>
      <c r="S50" s="74"/>
      <c r="T50" s="18"/>
      <c r="U50" s="74"/>
      <c r="V50" s="18"/>
      <c r="W50" s="74"/>
      <c r="X50" s="18"/>
      <c r="Y50" s="18"/>
      <c r="Z50" s="18"/>
      <c r="AA50" s="18"/>
      <c r="AB50" s="18"/>
      <c r="AC50" s="18"/>
      <c r="AD50" s="3"/>
      <c r="AE50" s="16"/>
      <c r="AF50" s="3"/>
      <c r="AG50" s="3"/>
      <c r="AH50" s="2"/>
      <c r="AI50" s="2"/>
      <c r="AJ50" s="2"/>
      <c r="AK50" s="2"/>
    </row>
    <row r="51" spans="1:37">
      <c r="A51" s="73"/>
      <c r="B51" s="68"/>
      <c r="C51" s="3"/>
      <c r="D51" s="3"/>
      <c r="E51" s="3"/>
      <c r="F51" s="3"/>
      <c r="G51" s="3"/>
      <c r="H51" s="3"/>
      <c r="I51" s="3"/>
      <c r="J51" s="3"/>
      <c r="K51" s="74"/>
      <c r="L51" s="18"/>
      <c r="M51" s="74"/>
      <c r="N51" s="18"/>
      <c r="O51" s="74"/>
      <c r="P51" s="18"/>
      <c r="Q51" s="74"/>
      <c r="R51" s="18"/>
      <c r="S51" s="74"/>
      <c r="T51" s="18"/>
      <c r="U51" s="74"/>
      <c r="V51" s="18"/>
      <c r="W51" s="74"/>
      <c r="X51" s="18"/>
      <c r="Y51" s="18"/>
      <c r="Z51" s="18"/>
      <c r="AA51" s="18"/>
      <c r="AB51" s="18"/>
      <c r="AC51" s="18"/>
      <c r="AD51" s="3"/>
      <c r="AE51" s="16"/>
      <c r="AF51" s="3"/>
      <c r="AG51" s="3"/>
      <c r="AH51" s="2"/>
      <c r="AI51" s="2"/>
      <c r="AJ51" s="2"/>
      <c r="AK51" s="2"/>
    </row>
    <row r="52" spans="1:37">
      <c r="A52" s="73"/>
      <c r="B52" s="68"/>
      <c r="C52" s="3"/>
      <c r="D52" s="3"/>
      <c r="E52" s="3"/>
      <c r="F52" s="3"/>
      <c r="G52" s="3"/>
      <c r="H52" s="3"/>
      <c r="I52" s="3"/>
      <c r="J52" s="3"/>
      <c r="K52" s="74"/>
      <c r="L52" s="18"/>
      <c r="M52" s="74"/>
      <c r="N52" s="18"/>
      <c r="O52" s="74"/>
      <c r="P52" s="18"/>
      <c r="Q52" s="74"/>
      <c r="R52" s="18"/>
      <c r="S52" s="74"/>
      <c r="T52" s="18"/>
      <c r="U52" s="74"/>
      <c r="V52" s="18"/>
      <c r="W52" s="74"/>
      <c r="X52" s="18"/>
      <c r="Y52" s="18"/>
      <c r="Z52" s="18"/>
      <c r="AA52" s="18"/>
      <c r="AB52" s="18"/>
      <c r="AC52" s="18"/>
      <c r="AD52" s="3"/>
      <c r="AE52" s="3"/>
      <c r="AF52" s="3"/>
      <c r="AG52" s="3"/>
      <c r="AH52" s="2"/>
      <c r="AI52" s="2"/>
      <c r="AJ52" s="2"/>
      <c r="AK52" s="2"/>
    </row>
    <row r="53" spans="1:37">
      <c r="A53" s="73"/>
      <c r="B53" s="69"/>
      <c r="C53" s="3"/>
      <c r="D53" s="3"/>
      <c r="E53" s="3"/>
      <c r="F53" s="3"/>
      <c r="G53" s="3"/>
      <c r="H53" s="3"/>
      <c r="I53" s="3"/>
      <c r="J53" s="3"/>
      <c r="K53" s="74"/>
      <c r="L53" s="18"/>
      <c r="M53" s="74"/>
      <c r="N53" s="18"/>
      <c r="O53" s="74"/>
      <c r="P53" s="18"/>
      <c r="Q53" s="74"/>
      <c r="R53" s="18"/>
      <c r="S53" s="74"/>
      <c r="T53" s="18"/>
      <c r="U53" s="74"/>
      <c r="V53" s="18"/>
      <c r="W53" s="74"/>
      <c r="X53" s="18"/>
      <c r="Y53" s="18"/>
      <c r="Z53" s="18"/>
      <c r="AA53" s="18"/>
      <c r="AB53" s="18"/>
      <c r="AC53" s="18"/>
      <c r="AD53" s="3"/>
      <c r="AE53" s="3"/>
      <c r="AF53" s="3"/>
      <c r="AG53" s="3"/>
      <c r="AH53" s="2"/>
      <c r="AI53" s="2"/>
      <c r="AJ53" s="2"/>
      <c r="AK53" s="2"/>
    </row>
    <row r="54" spans="1:37">
      <c r="A54" s="73"/>
      <c r="B54" s="68"/>
      <c r="C54" s="3"/>
      <c r="D54" s="3"/>
      <c r="E54" s="3"/>
      <c r="F54" s="3"/>
      <c r="G54" s="3"/>
      <c r="H54" s="3"/>
      <c r="I54" s="3"/>
      <c r="J54" s="3"/>
      <c r="K54" s="74"/>
      <c r="L54" s="18"/>
      <c r="M54" s="74"/>
      <c r="N54" s="18"/>
      <c r="O54" s="74"/>
      <c r="P54" s="18"/>
      <c r="Q54" s="74"/>
      <c r="R54" s="18"/>
      <c r="S54" s="74"/>
      <c r="T54" s="18"/>
      <c r="U54" s="74"/>
      <c r="V54" s="18"/>
      <c r="W54" s="74"/>
      <c r="X54" s="18"/>
      <c r="Y54" s="18"/>
      <c r="Z54" s="18"/>
      <c r="AA54" s="18"/>
      <c r="AB54" s="18"/>
      <c r="AC54" s="18"/>
      <c r="AD54" s="3"/>
      <c r="AE54" s="18"/>
      <c r="AF54" s="3"/>
      <c r="AG54" s="3"/>
      <c r="AH54" s="2"/>
      <c r="AI54" s="2"/>
      <c r="AJ54" s="2"/>
      <c r="AK54" s="2"/>
    </row>
    <row r="55" spans="1:37">
      <c r="A55" s="73"/>
      <c r="B55" s="68"/>
      <c r="C55" s="3"/>
      <c r="D55" s="3"/>
      <c r="E55" s="3"/>
      <c r="F55" s="3"/>
      <c r="G55" s="3"/>
      <c r="H55" s="3"/>
      <c r="I55" s="3"/>
      <c r="J55" s="3"/>
      <c r="K55" s="74"/>
      <c r="L55" s="18"/>
      <c r="M55" s="74"/>
      <c r="N55" s="18"/>
      <c r="O55" s="74"/>
      <c r="P55" s="18"/>
      <c r="Q55" s="74"/>
      <c r="R55" s="18"/>
      <c r="S55" s="74"/>
      <c r="T55" s="18"/>
      <c r="U55" s="74"/>
      <c r="V55" s="18"/>
      <c r="W55" s="74"/>
      <c r="X55" s="18"/>
      <c r="Y55" s="18"/>
      <c r="Z55" s="18"/>
      <c r="AA55" s="18"/>
      <c r="AB55" s="18"/>
      <c r="AC55" s="18"/>
      <c r="AD55" s="3"/>
      <c r="AE55" s="18"/>
      <c r="AF55" s="3"/>
      <c r="AG55" s="3"/>
      <c r="AH55" s="2"/>
      <c r="AI55" s="2"/>
      <c r="AJ55" s="2"/>
      <c r="AK55" s="2"/>
    </row>
    <row r="56" spans="1:37">
      <c r="A56" s="73"/>
      <c r="B56" s="68"/>
      <c r="C56" s="3"/>
      <c r="D56" s="3"/>
      <c r="E56" s="3"/>
      <c r="F56" s="3"/>
      <c r="G56" s="3"/>
      <c r="H56" s="3"/>
      <c r="I56" s="3"/>
      <c r="J56" s="3"/>
      <c r="K56" s="74"/>
      <c r="L56" s="18"/>
      <c r="M56" s="74"/>
      <c r="N56" s="18"/>
      <c r="O56" s="74"/>
      <c r="P56" s="18"/>
      <c r="Q56" s="74"/>
      <c r="R56" s="18"/>
      <c r="S56" s="74"/>
      <c r="T56" s="18"/>
      <c r="U56" s="74"/>
      <c r="V56" s="18"/>
      <c r="W56" s="74"/>
      <c r="X56" s="18"/>
      <c r="Y56" s="18"/>
      <c r="Z56" s="18"/>
      <c r="AA56" s="18"/>
      <c r="AB56" s="18"/>
      <c r="AC56" s="18"/>
      <c r="AD56" s="3"/>
      <c r="AE56" s="18"/>
      <c r="AF56" s="3"/>
      <c r="AG56" s="3"/>
      <c r="AH56" s="2"/>
      <c r="AI56" s="2"/>
      <c r="AJ56" s="2"/>
      <c r="AK56" s="2"/>
    </row>
    <row r="57" spans="1:37">
      <c r="A57" s="73"/>
      <c r="B57" s="68"/>
      <c r="C57" s="3"/>
      <c r="D57" s="3"/>
      <c r="E57" s="3"/>
      <c r="F57" s="3"/>
      <c r="G57" s="3"/>
      <c r="H57" s="3"/>
      <c r="I57" s="3"/>
      <c r="J57" s="3"/>
      <c r="K57" s="74"/>
      <c r="L57" s="18"/>
      <c r="M57" s="74"/>
      <c r="N57" s="18"/>
      <c r="O57" s="74"/>
      <c r="P57" s="18"/>
      <c r="Q57" s="74"/>
      <c r="R57" s="18"/>
      <c r="S57" s="74"/>
      <c r="T57" s="18"/>
      <c r="U57" s="74"/>
      <c r="V57" s="18"/>
      <c r="W57" s="74"/>
      <c r="X57" s="18"/>
      <c r="Y57" s="18"/>
      <c r="Z57" s="18"/>
      <c r="AA57" s="18"/>
      <c r="AB57" s="18"/>
      <c r="AC57" s="18"/>
      <c r="AD57" s="3"/>
      <c r="AE57" s="18"/>
      <c r="AF57" s="3"/>
      <c r="AG57" s="3"/>
      <c r="AH57" s="2"/>
      <c r="AI57" s="2"/>
      <c r="AJ57" s="2"/>
      <c r="AK57" s="2"/>
    </row>
    <row r="58" spans="1:37">
      <c r="A58" s="73"/>
      <c r="B58" s="68"/>
      <c r="C58" s="3"/>
      <c r="D58" s="3"/>
      <c r="E58" s="3"/>
      <c r="F58" s="3"/>
      <c r="G58" s="3"/>
      <c r="H58" s="3"/>
      <c r="I58" s="3"/>
      <c r="J58" s="3"/>
      <c r="K58" s="74"/>
      <c r="L58" s="18"/>
      <c r="M58" s="74"/>
      <c r="N58" s="18"/>
      <c r="O58" s="74"/>
      <c r="P58" s="18"/>
      <c r="Q58" s="74"/>
      <c r="R58" s="18"/>
      <c r="S58" s="74"/>
      <c r="T58" s="18"/>
      <c r="U58" s="74"/>
      <c r="V58" s="18"/>
      <c r="W58" s="74"/>
      <c r="X58" s="18"/>
      <c r="Y58" s="18"/>
      <c r="Z58" s="18"/>
      <c r="AA58" s="18"/>
      <c r="AB58" s="18"/>
      <c r="AC58" s="18"/>
      <c r="AD58" s="3"/>
      <c r="AE58" s="18"/>
      <c r="AF58" s="3"/>
      <c r="AG58" s="3"/>
      <c r="AH58" s="2"/>
      <c r="AI58" s="2"/>
      <c r="AJ58" s="2"/>
      <c r="AK58" s="2"/>
    </row>
    <row r="59" spans="1:37">
      <c r="A59" s="73"/>
      <c r="B59" s="68"/>
      <c r="C59" s="3"/>
      <c r="D59" s="3"/>
      <c r="E59" s="3"/>
      <c r="F59" s="3"/>
      <c r="G59" s="3"/>
      <c r="H59" s="3"/>
      <c r="I59" s="3"/>
      <c r="J59" s="3"/>
      <c r="K59" s="74"/>
      <c r="L59" s="18"/>
      <c r="M59" s="74"/>
      <c r="N59" s="18"/>
      <c r="O59" s="74"/>
      <c r="P59" s="18"/>
      <c r="Q59" s="74"/>
      <c r="R59" s="18"/>
      <c r="S59" s="74"/>
      <c r="T59" s="18"/>
      <c r="U59" s="74"/>
      <c r="V59" s="18"/>
      <c r="W59" s="74"/>
      <c r="X59" s="18"/>
      <c r="Y59" s="18"/>
      <c r="Z59" s="18"/>
      <c r="AA59" s="18"/>
      <c r="AB59" s="18"/>
      <c r="AC59" s="18"/>
      <c r="AD59" s="3"/>
      <c r="AE59" s="18"/>
      <c r="AF59" s="3"/>
      <c r="AG59" s="3"/>
      <c r="AH59" s="2"/>
      <c r="AI59" s="2"/>
      <c r="AJ59" s="2"/>
      <c r="AK59" s="2"/>
    </row>
    <row r="60" spans="1:37">
      <c r="A60" s="73"/>
      <c r="B60" s="68"/>
      <c r="C60" s="3"/>
      <c r="D60" s="3"/>
      <c r="E60" s="3"/>
      <c r="F60" s="3"/>
      <c r="G60" s="3"/>
      <c r="H60" s="3"/>
      <c r="I60" s="3"/>
      <c r="J60" s="3"/>
      <c r="K60" s="74"/>
      <c r="L60" s="18"/>
      <c r="M60" s="74"/>
      <c r="N60" s="18"/>
      <c r="O60" s="74"/>
      <c r="P60" s="18"/>
      <c r="Q60" s="74"/>
      <c r="R60" s="18"/>
      <c r="S60" s="74"/>
      <c r="T60" s="18"/>
      <c r="U60" s="74"/>
      <c r="V60" s="18"/>
      <c r="W60" s="74"/>
      <c r="X60" s="18"/>
      <c r="Y60" s="18"/>
      <c r="Z60" s="18"/>
      <c r="AA60" s="18"/>
      <c r="AB60" s="18"/>
      <c r="AC60" s="18"/>
      <c r="AD60" s="3"/>
      <c r="AE60" s="18"/>
      <c r="AF60" s="3"/>
      <c r="AG60" s="3"/>
      <c r="AH60" s="2"/>
      <c r="AI60" s="2"/>
      <c r="AJ60" s="2"/>
      <c r="AK60" s="2"/>
    </row>
    <row r="61" spans="1:37">
      <c r="A61" s="73"/>
      <c r="B61" s="68"/>
      <c r="C61" s="3"/>
      <c r="D61" s="3"/>
      <c r="E61" s="3"/>
      <c r="F61" s="3"/>
      <c r="G61" s="3"/>
      <c r="H61" s="3"/>
      <c r="I61" s="3"/>
      <c r="J61" s="3"/>
      <c r="K61" s="74"/>
      <c r="L61" s="18"/>
      <c r="M61" s="74"/>
      <c r="N61" s="18"/>
      <c r="O61" s="74"/>
      <c r="P61" s="18"/>
      <c r="Q61" s="74"/>
      <c r="R61" s="18"/>
      <c r="S61" s="74"/>
      <c r="T61" s="18"/>
      <c r="U61" s="74"/>
      <c r="V61" s="18"/>
      <c r="W61" s="74"/>
      <c r="X61" s="18"/>
      <c r="Y61" s="18"/>
      <c r="Z61" s="18"/>
      <c r="AA61" s="18"/>
      <c r="AB61" s="18"/>
      <c r="AC61" s="18"/>
      <c r="AD61" s="3"/>
      <c r="AE61" s="18"/>
      <c r="AF61" s="3"/>
      <c r="AG61" s="3"/>
      <c r="AH61" s="2"/>
      <c r="AI61" s="2"/>
      <c r="AJ61" s="2"/>
      <c r="AK61" s="2"/>
    </row>
    <row r="62" spans="1:37">
      <c r="A62" s="73"/>
      <c r="B62" s="68"/>
      <c r="C62" s="3"/>
      <c r="D62" s="3"/>
      <c r="E62" s="3"/>
      <c r="F62" s="3"/>
      <c r="G62" s="3"/>
      <c r="H62" s="3"/>
      <c r="I62" s="3"/>
      <c r="J62" s="3"/>
      <c r="K62" s="74"/>
      <c r="L62" s="18"/>
      <c r="M62" s="74"/>
      <c r="N62" s="75"/>
      <c r="O62" s="74"/>
      <c r="P62" s="18"/>
      <c r="Q62" s="74"/>
      <c r="R62" s="18"/>
      <c r="S62" s="74"/>
      <c r="T62" s="18"/>
      <c r="U62" s="74"/>
      <c r="V62" s="18"/>
      <c r="W62" s="74"/>
      <c r="X62" s="18"/>
      <c r="Y62" s="18"/>
      <c r="Z62" s="18"/>
      <c r="AA62" s="18"/>
      <c r="AB62" s="18"/>
      <c r="AC62" s="18"/>
      <c r="AD62" s="3"/>
      <c r="AE62" s="18"/>
      <c r="AF62" s="3"/>
      <c r="AG62" s="3"/>
      <c r="AH62" s="2"/>
      <c r="AI62" s="2"/>
      <c r="AJ62" s="2"/>
      <c r="AK62" s="2"/>
    </row>
    <row r="63" spans="1:37">
      <c r="A63" s="73"/>
      <c r="B63" s="68"/>
      <c r="C63" s="3"/>
      <c r="D63" s="3"/>
      <c r="E63" s="3"/>
      <c r="F63" s="3"/>
      <c r="G63" s="3"/>
      <c r="H63" s="3"/>
      <c r="I63" s="3"/>
      <c r="J63" s="3"/>
      <c r="K63" s="74"/>
      <c r="L63" s="18"/>
      <c r="M63" s="74"/>
      <c r="N63" s="18"/>
      <c r="O63" s="74"/>
      <c r="P63" s="18"/>
      <c r="Q63" s="74"/>
      <c r="R63" s="18"/>
      <c r="S63" s="74"/>
      <c r="T63" s="18"/>
      <c r="U63" s="74"/>
      <c r="V63" s="18"/>
      <c r="W63" s="74"/>
      <c r="X63" s="18"/>
      <c r="Y63" s="18"/>
      <c r="Z63" s="18"/>
      <c r="AA63" s="18"/>
      <c r="AB63" s="18"/>
      <c r="AC63" s="18"/>
      <c r="AD63" s="3"/>
      <c r="AE63" s="18"/>
      <c r="AF63" s="3"/>
      <c r="AG63" s="3"/>
      <c r="AH63" s="2"/>
      <c r="AI63" s="2"/>
      <c r="AJ63" s="2"/>
      <c r="AK63" s="2"/>
    </row>
    <row r="64" spans="1:37">
      <c r="A64" s="73"/>
      <c r="B64" s="68"/>
      <c r="C64" s="3"/>
      <c r="D64" s="3"/>
      <c r="E64" s="3"/>
      <c r="F64" s="3"/>
      <c r="G64" s="3"/>
      <c r="H64" s="3"/>
      <c r="I64" s="3"/>
      <c r="J64" s="3"/>
      <c r="K64" s="74"/>
      <c r="L64" s="18"/>
      <c r="M64" s="74"/>
      <c r="N64" s="18"/>
      <c r="O64" s="74"/>
      <c r="P64" s="18"/>
      <c r="Q64" s="74"/>
      <c r="R64" s="18"/>
      <c r="S64" s="74"/>
      <c r="T64" s="18"/>
      <c r="U64" s="74"/>
      <c r="V64" s="18"/>
      <c r="W64" s="74"/>
      <c r="X64" s="18"/>
      <c r="Y64" s="18"/>
      <c r="Z64" s="18"/>
      <c r="AA64" s="18"/>
      <c r="AB64" s="18"/>
      <c r="AC64" s="18"/>
      <c r="AD64" s="3"/>
      <c r="AE64" s="18"/>
      <c r="AF64" s="3"/>
      <c r="AG64" s="3"/>
      <c r="AH64" s="2"/>
      <c r="AI64" s="2"/>
      <c r="AJ64" s="2"/>
      <c r="AK64" s="2"/>
    </row>
    <row r="65" spans="1:37">
      <c r="A65" s="73"/>
      <c r="B65" s="68"/>
      <c r="C65" s="3"/>
      <c r="D65" s="3"/>
      <c r="E65" s="3"/>
      <c r="F65" s="3"/>
      <c r="G65" s="3"/>
      <c r="H65" s="3"/>
      <c r="I65" s="3"/>
      <c r="J65" s="3"/>
      <c r="K65" s="74"/>
      <c r="L65" s="18"/>
      <c r="M65" s="74"/>
      <c r="N65" s="18"/>
      <c r="O65" s="74"/>
      <c r="P65" s="18"/>
      <c r="Q65" s="74"/>
      <c r="R65" s="18"/>
      <c r="S65" s="74"/>
      <c r="T65" s="18"/>
      <c r="U65" s="74"/>
      <c r="V65" s="18"/>
      <c r="W65" s="74"/>
      <c r="X65" s="18"/>
      <c r="Y65" s="18"/>
      <c r="Z65" s="18"/>
      <c r="AA65" s="18"/>
      <c r="AB65" s="18"/>
      <c r="AC65" s="18"/>
      <c r="AD65" s="3"/>
      <c r="AE65" s="18"/>
      <c r="AF65" s="3"/>
      <c r="AG65" s="3"/>
      <c r="AH65" s="2"/>
      <c r="AI65" s="2"/>
      <c r="AJ65" s="2"/>
      <c r="AK65" s="2"/>
    </row>
    <row r="66" spans="1:37">
      <c r="A66" s="73"/>
      <c r="B66" s="68"/>
      <c r="C66" s="3"/>
      <c r="D66" s="3"/>
      <c r="E66" s="3"/>
      <c r="F66" s="3"/>
      <c r="G66" s="3"/>
      <c r="H66" s="3"/>
      <c r="I66" s="3"/>
      <c r="J66" s="3"/>
      <c r="K66" s="74"/>
      <c r="L66" s="18"/>
      <c r="M66" s="74"/>
      <c r="N66" s="18"/>
      <c r="O66" s="74"/>
      <c r="P66" s="18"/>
      <c r="Q66" s="74"/>
      <c r="R66" s="18"/>
      <c r="S66" s="74"/>
      <c r="T66" s="18"/>
      <c r="U66" s="74"/>
      <c r="V66" s="18"/>
      <c r="W66" s="74"/>
      <c r="X66" s="18"/>
      <c r="Y66" s="18"/>
      <c r="Z66" s="18"/>
      <c r="AA66" s="18"/>
      <c r="AB66" s="18"/>
      <c r="AC66" s="18"/>
      <c r="AD66" s="3"/>
      <c r="AE66" s="18"/>
      <c r="AF66" s="3"/>
      <c r="AG66" s="3"/>
      <c r="AH66" s="2"/>
      <c r="AI66" s="2"/>
      <c r="AJ66" s="2"/>
      <c r="AK66" s="2"/>
    </row>
    <row r="67" spans="1:37">
      <c r="A67" s="73"/>
      <c r="B67" s="68"/>
      <c r="C67" s="3"/>
      <c r="D67" s="3"/>
      <c r="E67" s="3"/>
      <c r="F67" s="3"/>
      <c r="G67" s="3"/>
      <c r="H67" s="3"/>
      <c r="I67" s="3"/>
      <c r="J67" s="3"/>
      <c r="K67" s="74"/>
      <c r="L67" s="18"/>
      <c r="M67" s="74"/>
      <c r="N67" s="18"/>
      <c r="O67" s="74"/>
      <c r="P67" s="18"/>
      <c r="Q67" s="74"/>
      <c r="R67" s="18"/>
      <c r="S67" s="74"/>
      <c r="T67" s="18"/>
      <c r="U67" s="74"/>
      <c r="V67" s="18"/>
      <c r="W67" s="74"/>
      <c r="X67" s="18"/>
      <c r="Y67" s="18"/>
      <c r="Z67" s="18"/>
      <c r="AA67" s="18"/>
      <c r="AB67" s="18"/>
      <c r="AC67" s="18"/>
      <c r="AD67" s="3"/>
      <c r="AE67" s="18"/>
      <c r="AF67" s="3"/>
      <c r="AG67" s="3"/>
      <c r="AH67" s="2"/>
      <c r="AI67" s="2"/>
      <c r="AJ67" s="2"/>
      <c r="AK67" s="2"/>
    </row>
    <row r="68" spans="1:37">
      <c r="A68" s="73"/>
      <c r="B68" s="68"/>
      <c r="C68" s="3"/>
      <c r="D68" s="3"/>
      <c r="E68" s="3"/>
      <c r="F68" s="3"/>
      <c r="G68" s="3"/>
      <c r="H68" s="3"/>
      <c r="I68" s="3"/>
      <c r="J68" s="3"/>
      <c r="K68" s="74"/>
      <c r="L68" s="18"/>
      <c r="M68" s="74"/>
      <c r="N68" s="18"/>
      <c r="O68" s="74"/>
      <c r="P68" s="18"/>
      <c r="Q68" s="74"/>
      <c r="R68" s="18"/>
      <c r="S68" s="74"/>
      <c r="T68" s="18"/>
      <c r="U68" s="74"/>
      <c r="V68" s="18"/>
      <c r="W68" s="74"/>
      <c r="X68" s="18"/>
      <c r="Y68" s="18"/>
      <c r="Z68" s="18"/>
      <c r="AA68" s="18"/>
      <c r="AB68" s="18"/>
      <c r="AC68" s="18"/>
      <c r="AD68" s="3"/>
      <c r="AE68" s="18"/>
      <c r="AF68" s="3"/>
      <c r="AG68" s="3"/>
      <c r="AH68" s="2"/>
      <c r="AI68" s="2"/>
      <c r="AJ68" s="2"/>
      <c r="AK68" s="2"/>
    </row>
    <row r="69" spans="1:37">
      <c r="A69" s="73"/>
      <c r="B69" s="68"/>
      <c r="C69" s="3"/>
      <c r="D69" s="3"/>
      <c r="E69" s="3"/>
      <c r="F69" s="3"/>
      <c r="G69" s="3"/>
      <c r="H69" s="3"/>
      <c r="I69" s="3"/>
      <c r="J69" s="3"/>
      <c r="K69" s="74"/>
      <c r="L69" s="18"/>
      <c r="M69" s="74"/>
      <c r="N69" s="18"/>
      <c r="O69" s="74"/>
      <c r="P69" s="18"/>
      <c r="Q69" s="74"/>
      <c r="R69" s="18"/>
      <c r="S69" s="74"/>
      <c r="T69" s="18"/>
      <c r="U69" s="74"/>
      <c r="V69" s="18"/>
      <c r="W69" s="74"/>
      <c r="X69" s="18"/>
      <c r="Y69" s="18"/>
      <c r="Z69" s="18"/>
      <c r="AA69" s="18"/>
      <c r="AB69" s="18"/>
      <c r="AC69" s="18"/>
      <c r="AD69" s="3"/>
      <c r="AE69" s="18"/>
      <c r="AF69" s="3"/>
      <c r="AG69" s="3"/>
      <c r="AH69" s="2"/>
      <c r="AI69" s="2"/>
      <c r="AJ69" s="2"/>
      <c r="AK69" s="2"/>
    </row>
    <row r="70" spans="1:37">
      <c r="A70" s="73"/>
      <c r="B70" s="68"/>
      <c r="C70" s="3"/>
      <c r="D70" s="3"/>
      <c r="E70" s="3"/>
      <c r="F70" s="3"/>
      <c r="G70" s="3"/>
      <c r="H70" s="3"/>
      <c r="I70" s="3"/>
      <c r="J70" s="3"/>
      <c r="K70" s="74"/>
      <c r="L70" s="18"/>
      <c r="M70" s="74"/>
      <c r="N70" s="18"/>
      <c r="O70" s="74"/>
      <c r="P70" s="18"/>
      <c r="Q70" s="74"/>
      <c r="R70" s="18"/>
      <c r="S70" s="74"/>
      <c r="T70" s="18"/>
      <c r="U70" s="74"/>
      <c r="V70" s="18"/>
      <c r="W70" s="74"/>
      <c r="X70" s="18"/>
      <c r="Y70" s="18"/>
      <c r="Z70" s="18"/>
      <c r="AA70" s="18"/>
      <c r="AB70" s="18"/>
      <c r="AC70" s="18"/>
      <c r="AD70" s="3"/>
      <c r="AE70" s="18"/>
      <c r="AF70" s="3"/>
      <c r="AG70" s="3"/>
      <c r="AH70" s="2"/>
      <c r="AI70" s="2"/>
      <c r="AJ70" s="2"/>
      <c r="AK70" s="2"/>
    </row>
    <row r="71" spans="1:37">
      <c r="A71" s="73"/>
      <c r="B71" s="68"/>
      <c r="C71" s="3"/>
      <c r="D71" s="3"/>
      <c r="E71" s="3"/>
      <c r="F71" s="3"/>
      <c r="G71" s="3"/>
      <c r="H71" s="3"/>
      <c r="I71" s="3"/>
      <c r="J71" s="3"/>
      <c r="K71" s="74"/>
      <c r="L71" s="18"/>
      <c r="M71" s="74"/>
      <c r="N71" s="18"/>
      <c r="O71" s="74"/>
      <c r="P71" s="18"/>
      <c r="Q71" s="74"/>
      <c r="R71" s="18"/>
      <c r="S71" s="74"/>
      <c r="T71" s="18"/>
      <c r="U71" s="74"/>
      <c r="V71" s="18"/>
      <c r="W71" s="74"/>
      <c r="X71" s="18"/>
      <c r="Y71" s="18"/>
      <c r="Z71" s="18"/>
      <c r="AA71" s="18"/>
      <c r="AB71" s="18"/>
      <c r="AC71" s="18"/>
      <c r="AD71" s="3"/>
      <c r="AE71" s="18"/>
      <c r="AF71" s="3"/>
      <c r="AG71" s="3"/>
      <c r="AH71" s="2"/>
      <c r="AI71" s="2"/>
      <c r="AJ71" s="2"/>
      <c r="AK71" s="2"/>
    </row>
    <row r="72" spans="1:37">
      <c r="A72" s="73"/>
      <c r="B72" s="68"/>
      <c r="C72" s="3"/>
      <c r="D72" s="3"/>
      <c r="E72" s="3"/>
      <c r="F72" s="3"/>
      <c r="G72" s="3"/>
      <c r="H72" s="3"/>
      <c r="I72" s="3"/>
      <c r="J72" s="3"/>
      <c r="K72" s="74"/>
      <c r="L72" s="18"/>
      <c r="M72" s="74"/>
      <c r="N72" s="18"/>
      <c r="O72" s="74"/>
      <c r="P72" s="18"/>
      <c r="Q72" s="74"/>
      <c r="R72" s="18"/>
      <c r="S72" s="74"/>
      <c r="T72" s="18"/>
      <c r="U72" s="74"/>
      <c r="V72" s="18"/>
      <c r="W72" s="74"/>
      <c r="X72" s="18"/>
      <c r="Y72" s="18"/>
      <c r="Z72" s="18"/>
      <c r="AA72" s="18"/>
      <c r="AB72" s="18"/>
      <c r="AC72" s="18"/>
      <c r="AD72" s="3"/>
      <c r="AE72" s="18"/>
      <c r="AF72" s="3"/>
      <c r="AG72" s="3"/>
      <c r="AH72" s="2"/>
      <c r="AI72" s="2"/>
      <c r="AJ72" s="2"/>
      <c r="AK72" s="2"/>
    </row>
    <row r="73" spans="1:37">
      <c r="A73" s="73"/>
      <c r="B73" s="3"/>
      <c r="C73" s="3"/>
      <c r="D73" s="3"/>
      <c r="E73" s="3"/>
      <c r="F73" s="3"/>
      <c r="G73" s="3"/>
      <c r="H73" s="3"/>
      <c r="I73" s="3"/>
      <c r="J73" s="3"/>
      <c r="K73" s="74"/>
      <c r="L73" s="18"/>
      <c r="M73" s="74"/>
      <c r="N73" s="18"/>
      <c r="O73" s="74"/>
      <c r="P73" s="18"/>
      <c r="Q73" s="74"/>
      <c r="R73" s="18"/>
      <c r="S73" s="74"/>
      <c r="T73" s="18"/>
      <c r="U73" s="74"/>
      <c r="V73" s="18"/>
      <c r="W73" s="74"/>
      <c r="X73" s="18"/>
      <c r="Y73" s="18"/>
      <c r="Z73" s="18"/>
      <c r="AA73" s="18"/>
      <c r="AB73" s="18"/>
      <c r="AC73" s="18"/>
      <c r="AD73" s="3"/>
      <c r="AE73" s="3"/>
      <c r="AF73" s="3"/>
      <c r="AG73" s="3"/>
      <c r="AH73" s="2"/>
      <c r="AI73" s="2"/>
      <c r="AJ73" s="2"/>
      <c r="AK73" s="2"/>
    </row>
    <row r="74" spans="1:37">
      <c r="A74" s="6"/>
      <c r="B74" s="6"/>
      <c r="C74" s="6"/>
      <c r="D74" s="6"/>
      <c r="E74" s="6"/>
      <c r="F74" s="6"/>
      <c r="G74" s="6"/>
      <c r="H74" s="6"/>
      <c r="I74" s="6"/>
      <c r="J74" s="6"/>
      <c r="Y74" s="6"/>
      <c r="Z74" s="6"/>
      <c r="AA74" s="6"/>
      <c r="AB74" s="6"/>
      <c r="AC74" s="6"/>
      <c r="AD74" s="6"/>
      <c r="AE74" s="6"/>
      <c r="AF74" s="6"/>
      <c r="AG74" s="6"/>
    </row>
  </sheetData>
  <mergeCells count="1">
    <mergeCell ref="AE3:AG3"/>
  </mergeCells>
  <pageMargins left="0.25" right="0.25" top="0.75" bottom="0.75" header="0.3" footer="0.3"/>
  <pageSetup scale="37" orientation="portrait" horizontalDpi="360" verticalDpi="36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">
    <pageSetUpPr fitToPage="1"/>
  </sheetPr>
  <dimension ref="A1:AL75"/>
  <sheetViews>
    <sheetView zoomScale="109" zoomScaleNormal="70" workbookViewId="0">
      <selection activeCell="C4" sqref="C4:J28"/>
    </sheetView>
  </sheetViews>
  <sheetFormatPr baseColWidth="10" defaultRowHeight="15"/>
  <cols>
    <col min="1" max="1" width="2.7109375" customWidth="1"/>
    <col min="2" max="2" width="23.42578125" customWidth="1"/>
    <col min="3" max="10" width="4.7109375" customWidth="1"/>
    <col min="11" max="24" width="7.7109375" customWidth="1"/>
  </cols>
  <sheetData>
    <row r="1" spans="1:38" ht="24.75">
      <c r="A1" s="58"/>
      <c r="B1" s="58"/>
      <c r="C1" s="59" t="str">
        <f>('ORDENES '!L1)</f>
        <v>11-17 enero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</row>
    <row r="2" spans="1:38" ht="24.75">
      <c r="A2" s="87"/>
      <c r="B2" s="87"/>
      <c r="C2" s="87"/>
      <c r="D2" s="87"/>
      <c r="E2" s="87"/>
      <c r="F2" s="87"/>
      <c r="G2" s="87"/>
      <c r="H2" s="87"/>
      <c r="I2" s="87"/>
      <c r="J2" s="87"/>
      <c r="K2" s="160" t="s">
        <v>31</v>
      </c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87"/>
      <c r="Y2" s="87"/>
      <c r="Z2" s="87"/>
      <c r="AA2" s="87"/>
      <c r="AB2" s="87"/>
      <c r="AC2" s="87"/>
      <c r="AE2" s="21"/>
      <c r="AF2" s="21"/>
      <c r="AG2" s="21"/>
      <c r="AH2" s="27"/>
    </row>
    <row r="3" spans="1:38">
      <c r="A3" s="7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65" t="s">
        <v>10</v>
      </c>
      <c r="L3" s="4" t="s">
        <v>11</v>
      </c>
      <c r="M3" s="65" t="s">
        <v>12</v>
      </c>
      <c r="N3" s="4" t="s">
        <v>13</v>
      </c>
      <c r="O3" s="65" t="s">
        <v>14</v>
      </c>
      <c r="P3" s="4" t="s">
        <v>15</v>
      </c>
      <c r="Q3" s="65" t="s">
        <v>16</v>
      </c>
      <c r="R3" s="4" t="s">
        <v>17</v>
      </c>
      <c r="S3" s="65" t="s">
        <v>18</v>
      </c>
      <c r="T3" s="4" t="s">
        <v>19</v>
      </c>
      <c r="U3" s="65" t="s">
        <v>20</v>
      </c>
      <c r="V3" s="4" t="s">
        <v>21</v>
      </c>
      <c r="W3" s="65" t="s">
        <v>22</v>
      </c>
      <c r="X3" s="4" t="s">
        <v>23</v>
      </c>
      <c r="Y3" s="8" t="s">
        <v>24</v>
      </c>
      <c r="Z3" s="8" t="s">
        <v>25</v>
      </c>
      <c r="AA3" s="8" t="s">
        <v>26</v>
      </c>
      <c r="AB3" s="8" t="s">
        <v>27</v>
      </c>
      <c r="AC3" s="4" t="s">
        <v>28</v>
      </c>
      <c r="AD3" s="3"/>
      <c r="AE3" s="159"/>
      <c r="AF3" s="159"/>
      <c r="AG3" s="159"/>
      <c r="AH3" s="26"/>
      <c r="AI3" s="3"/>
      <c r="AJ3" s="6"/>
      <c r="AK3" s="6"/>
      <c r="AL3" s="6"/>
    </row>
    <row r="4" spans="1:38">
      <c r="A4" s="1">
        <v>1</v>
      </c>
      <c r="B4" s="89" t="str">
        <f>(PRECIOS!B4)</f>
        <v>CHULETA DE CERDO</v>
      </c>
      <c r="C4" s="93">
        <f>SUM('ORDENES '!O3)</f>
        <v>0</v>
      </c>
      <c r="D4" s="94">
        <f>SUM('ORDENES '!P3)</f>
        <v>0</v>
      </c>
      <c r="E4" s="93">
        <f>SUM('ORDENES '!Q3)</f>
        <v>0</v>
      </c>
      <c r="F4" s="94">
        <f>SUM('ORDENES '!R3)</f>
        <v>0</v>
      </c>
      <c r="G4" s="93">
        <f>SUM('ORDENES '!S3)</f>
        <v>0</v>
      </c>
      <c r="H4" s="94">
        <f>SUM('ORDENES '!T3)</f>
        <v>0</v>
      </c>
      <c r="I4" s="93">
        <f>SUM('ORDENES '!U3)</f>
        <v>0</v>
      </c>
      <c r="J4" s="9">
        <f>SUM(C4:I4)</f>
        <v>0</v>
      </c>
      <c r="K4" s="66">
        <f t="shared" ref="K4:K26" si="0">SUM(C4*Y4)</f>
        <v>0</v>
      </c>
      <c r="L4" s="5">
        <f>SUM(C4*Z4)</f>
        <v>0</v>
      </c>
      <c r="M4" s="66">
        <f>SUM(D4*Y4)</f>
        <v>0</v>
      </c>
      <c r="N4" s="5">
        <f>SUM(D4*Z4)</f>
        <v>0</v>
      </c>
      <c r="O4" s="66">
        <f>SUM(E4*Y4)</f>
        <v>0</v>
      </c>
      <c r="P4" s="5">
        <f>SUM(E4*Z4)</f>
        <v>0</v>
      </c>
      <c r="Q4" s="66">
        <f>SUM(F4*Y4)</f>
        <v>0</v>
      </c>
      <c r="R4" s="5">
        <f>SUM(F4*Z4)</f>
        <v>0</v>
      </c>
      <c r="S4" s="66">
        <f>SUM(G4*Y4)</f>
        <v>0</v>
      </c>
      <c r="T4" s="5">
        <f>SUM(G4*Z4)</f>
        <v>0</v>
      </c>
      <c r="U4" s="66">
        <f>SUM(H4*Y4)</f>
        <v>0</v>
      </c>
      <c r="V4" s="5">
        <f>SUM(H4*Z4)</f>
        <v>0</v>
      </c>
      <c r="W4" s="66">
        <f>SUM(I4*Y4)</f>
        <v>0</v>
      </c>
      <c r="X4" s="5">
        <f>SUM(I4*Z4)</f>
        <v>0</v>
      </c>
      <c r="Y4" s="10">
        <f>SUM(PRECIOS!C4)</f>
        <v>89</v>
      </c>
      <c r="Z4" s="11">
        <f>SUM(PRECIOS!D4)</f>
        <v>89</v>
      </c>
      <c r="AA4" s="20">
        <f t="shared" ref="AA4:AA28" si="1">Y4*J4</f>
        <v>0</v>
      </c>
      <c r="AB4" s="12">
        <f t="shared" ref="AB4:AB28" si="2">Z4*J4</f>
        <v>0</v>
      </c>
      <c r="AC4" s="13">
        <f t="shared" ref="AC4:AC28" si="3">AB4-AA4</f>
        <v>0</v>
      </c>
      <c r="AD4" s="3"/>
      <c r="AE4" s="22"/>
      <c r="AF4" s="22"/>
      <c r="AG4" s="23"/>
      <c r="AH4" s="26"/>
      <c r="AI4" s="3"/>
      <c r="AJ4" s="6"/>
      <c r="AK4" s="6"/>
      <c r="AL4" s="6"/>
    </row>
    <row r="5" spans="1:38">
      <c r="A5" s="1">
        <v>2</v>
      </c>
      <c r="B5" s="89" t="str">
        <f>(PRECIOS!B5)</f>
        <v>LOMO DE CERDO</v>
      </c>
      <c r="C5" s="93">
        <f>SUM('ORDENES '!O4)</f>
        <v>0</v>
      </c>
      <c r="D5" s="94">
        <f>SUM('ORDENES '!P4)</f>
        <v>0</v>
      </c>
      <c r="E5" s="93">
        <f>SUM('ORDENES '!Q4)</f>
        <v>0</v>
      </c>
      <c r="F5" s="94">
        <f>SUM('ORDENES '!R4)</f>
        <v>10</v>
      </c>
      <c r="G5" s="93">
        <f>SUM('ORDENES '!S4)</f>
        <v>17</v>
      </c>
      <c r="H5" s="94">
        <f>SUM('ORDENES '!T4)</f>
        <v>0</v>
      </c>
      <c r="I5" s="93">
        <f>SUM('ORDENES '!U4)</f>
        <v>17</v>
      </c>
      <c r="J5" s="9">
        <f t="shared" ref="J5:J28" si="4">SUM(C5:I5)</f>
        <v>44</v>
      </c>
      <c r="K5" s="66">
        <f t="shared" si="0"/>
        <v>0</v>
      </c>
      <c r="L5" s="5">
        <f t="shared" ref="L5:L28" si="5">SUM(C5*Z5)</f>
        <v>0</v>
      </c>
      <c r="M5" s="66">
        <f t="shared" ref="M5:M28" si="6">SUM(D5*Y5)</f>
        <v>0</v>
      </c>
      <c r="N5" s="5">
        <f t="shared" ref="N5:N28" si="7">SUM(D5*Z5)</f>
        <v>0</v>
      </c>
      <c r="O5" s="66">
        <f t="shared" ref="O5:O28" si="8">SUM(E5*Y5)</f>
        <v>0</v>
      </c>
      <c r="P5" s="5">
        <f t="shared" ref="P5:P28" si="9">SUM(E5*Z5)</f>
        <v>0</v>
      </c>
      <c r="Q5" s="66">
        <f t="shared" ref="Q5:Q28" si="10">SUM(F5*Y5)</f>
        <v>500</v>
      </c>
      <c r="R5" s="5">
        <f t="shared" ref="R5:R28" si="11">SUM(F5*Z5)</f>
        <v>950</v>
      </c>
      <c r="S5" s="66">
        <f t="shared" ref="S5:S28" si="12">SUM(G5*Y5)</f>
        <v>850</v>
      </c>
      <c r="T5" s="5">
        <f t="shared" ref="T5:T28" si="13">SUM(G5*Z5)</f>
        <v>1615</v>
      </c>
      <c r="U5" s="66">
        <f t="shared" ref="U5:U28" si="14">SUM(H5*Y5)</f>
        <v>0</v>
      </c>
      <c r="V5" s="5">
        <f t="shared" ref="V5:V28" si="15">SUM(H5*Z5)</f>
        <v>0</v>
      </c>
      <c r="W5" s="66">
        <f t="shared" ref="W5:W28" si="16">SUM(I5*Y5)</f>
        <v>850</v>
      </c>
      <c r="X5" s="5">
        <f t="shared" ref="X5:X28" si="17">SUM(I5*Z5)</f>
        <v>1615</v>
      </c>
      <c r="Y5" s="10">
        <f>SUM(PRECIOS!C5)</f>
        <v>50</v>
      </c>
      <c r="Z5" s="11">
        <f>SUM(PRECIOS!D5)</f>
        <v>95</v>
      </c>
      <c r="AA5" s="20">
        <f t="shared" si="1"/>
        <v>2200</v>
      </c>
      <c r="AB5" s="12">
        <f t="shared" si="2"/>
        <v>4180</v>
      </c>
      <c r="AC5" s="13">
        <f t="shared" si="3"/>
        <v>1980</v>
      </c>
      <c r="AD5" s="3"/>
      <c r="AE5" s="24"/>
      <c r="AF5" s="25"/>
      <c r="AG5" s="25"/>
      <c r="AH5" s="26"/>
      <c r="AI5" s="3"/>
      <c r="AJ5" s="6"/>
      <c r="AK5" s="6"/>
      <c r="AL5" s="6"/>
    </row>
    <row r="6" spans="1:38">
      <c r="A6" s="1">
        <v>3</v>
      </c>
      <c r="B6" s="89" t="str">
        <f>(PRECIOS!B6)</f>
        <v>PIERNA DE CERDO EN TROZO</v>
      </c>
      <c r="C6" s="93">
        <f>SUM('ORDENES '!O5)</f>
        <v>0</v>
      </c>
      <c r="D6" s="94">
        <f>SUM('ORDENES '!P5)</f>
        <v>0</v>
      </c>
      <c r="E6" s="93">
        <f>SUM('ORDENES '!Q5)</f>
        <v>17</v>
      </c>
      <c r="F6" s="94">
        <f>SUM('ORDENES '!R5)</f>
        <v>0</v>
      </c>
      <c r="G6" s="93">
        <f>SUM('ORDENES '!S5)</f>
        <v>0</v>
      </c>
      <c r="H6" s="94">
        <f>SUM('ORDENES '!T5)</f>
        <v>0</v>
      </c>
      <c r="I6" s="93">
        <f>SUM('ORDENES '!U5)</f>
        <v>0</v>
      </c>
      <c r="J6" s="9">
        <f t="shared" si="4"/>
        <v>17</v>
      </c>
      <c r="K6" s="66">
        <f t="shared" si="0"/>
        <v>0</v>
      </c>
      <c r="L6" s="5">
        <f t="shared" si="5"/>
        <v>0</v>
      </c>
      <c r="M6" s="66">
        <f t="shared" si="6"/>
        <v>0</v>
      </c>
      <c r="N6" s="5">
        <f t="shared" si="7"/>
        <v>0</v>
      </c>
      <c r="O6" s="66">
        <f t="shared" si="8"/>
        <v>1088</v>
      </c>
      <c r="P6" s="5">
        <f t="shared" si="9"/>
        <v>1394</v>
      </c>
      <c r="Q6" s="66">
        <f t="shared" si="10"/>
        <v>0</v>
      </c>
      <c r="R6" s="5">
        <f t="shared" si="11"/>
        <v>0</v>
      </c>
      <c r="S6" s="66">
        <f t="shared" si="12"/>
        <v>0</v>
      </c>
      <c r="T6" s="5">
        <f t="shared" si="13"/>
        <v>0</v>
      </c>
      <c r="U6" s="66">
        <f t="shared" si="14"/>
        <v>0</v>
      </c>
      <c r="V6" s="5">
        <f t="shared" si="15"/>
        <v>0</v>
      </c>
      <c r="W6" s="66">
        <f t="shared" si="16"/>
        <v>0</v>
      </c>
      <c r="X6" s="5">
        <f t="shared" si="17"/>
        <v>0</v>
      </c>
      <c r="Y6" s="10">
        <f>SUM(PRECIOS!C6)</f>
        <v>64</v>
      </c>
      <c r="Z6" s="11">
        <f>SUM(PRECIOS!D6)</f>
        <v>82</v>
      </c>
      <c r="AA6" s="20">
        <f t="shared" si="1"/>
        <v>1088</v>
      </c>
      <c r="AB6" s="12">
        <f t="shared" si="2"/>
        <v>1394</v>
      </c>
      <c r="AC6" s="13">
        <f t="shared" si="3"/>
        <v>306</v>
      </c>
      <c r="AD6" s="3"/>
      <c r="AE6" s="24"/>
      <c r="AF6" s="26"/>
      <c r="AG6" s="26"/>
      <c r="AH6" s="26"/>
      <c r="AI6" s="3"/>
      <c r="AJ6" s="6"/>
      <c r="AK6" s="6"/>
      <c r="AL6" s="6"/>
    </row>
    <row r="7" spans="1:38">
      <c r="A7" s="1">
        <v>4</v>
      </c>
      <c r="B7" s="89" t="str">
        <f>(PRECIOS!B7)</f>
        <v>PIERNA DE CERDO MOLIDA</v>
      </c>
      <c r="C7" s="93">
        <f>SUM('ORDENES '!O6)</f>
        <v>0</v>
      </c>
      <c r="D7" s="94">
        <f>SUM('ORDENES '!P6)</f>
        <v>0</v>
      </c>
      <c r="E7" s="93">
        <f>SUM('ORDENES '!Q6)</f>
        <v>0</v>
      </c>
      <c r="F7" s="94">
        <f>SUM('ORDENES '!R6)</f>
        <v>0</v>
      </c>
      <c r="G7" s="93">
        <f>SUM('ORDENES '!S6)</f>
        <v>0</v>
      </c>
      <c r="H7" s="94">
        <f>SUM('ORDENES '!T6)</f>
        <v>0</v>
      </c>
      <c r="I7" s="93">
        <f>SUM('ORDENES '!U6)</f>
        <v>0</v>
      </c>
      <c r="J7" s="9">
        <f t="shared" si="4"/>
        <v>0</v>
      </c>
      <c r="K7" s="66">
        <f t="shared" si="0"/>
        <v>0</v>
      </c>
      <c r="L7" s="5">
        <f t="shared" si="5"/>
        <v>0</v>
      </c>
      <c r="M7" s="66">
        <f t="shared" si="6"/>
        <v>0</v>
      </c>
      <c r="N7" s="5">
        <f t="shared" si="7"/>
        <v>0</v>
      </c>
      <c r="O7" s="66">
        <f t="shared" si="8"/>
        <v>0</v>
      </c>
      <c r="P7" s="5">
        <f t="shared" si="9"/>
        <v>0</v>
      </c>
      <c r="Q7" s="66">
        <f t="shared" si="10"/>
        <v>0</v>
      </c>
      <c r="R7" s="5">
        <f t="shared" si="11"/>
        <v>0</v>
      </c>
      <c r="S7" s="66">
        <f t="shared" si="12"/>
        <v>0</v>
      </c>
      <c r="T7" s="5">
        <f t="shared" si="13"/>
        <v>0</v>
      </c>
      <c r="U7" s="66">
        <f t="shared" si="14"/>
        <v>0</v>
      </c>
      <c r="V7" s="5">
        <f t="shared" si="15"/>
        <v>0</v>
      </c>
      <c r="W7" s="66">
        <f t="shared" si="16"/>
        <v>0</v>
      </c>
      <c r="X7" s="5">
        <f t="shared" si="17"/>
        <v>0</v>
      </c>
      <c r="Y7" s="10">
        <f>SUM(PRECIOS!C7)</f>
        <v>50</v>
      </c>
      <c r="Z7" s="11">
        <f>SUM(PRECIOS!D7)</f>
        <v>60</v>
      </c>
      <c r="AA7" s="20">
        <f t="shared" si="1"/>
        <v>0</v>
      </c>
      <c r="AB7" s="12">
        <f t="shared" si="2"/>
        <v>0</v>
      </c>
      <c r="AC7" s="13">
        <f t="shared" si="3"/>
        <v>0</v>
      </c>
      <c r="AD7" s="3"/>
      <c r="AE7" s="16"/>
      <c r="AF7" s="3"/>
      <c r="AG7" s="3"/>
      <c r="AH7" s="3"/>
      <c r="AI7" s="3"/>
      <c r="AJ7" s="6"/>
      <c r="AK7" s="6"/>
      <c r="AL7" s="6"/>
    </row>
    <row r="8" spans="1:38">
      <c r="A8" s="1">
        <v>5</v>
      </c>
      <c r="B8" s="89" t="str">
        <f>(PRECIOS!B8)</f>
        <v>MERO EN FILETE CONGELADO</v>
      </c>
      <c r="C8" s="93">
        <f>SUM('ORDENES '!O7)</f>
        <v>0</v>
      </c>
      <c r="D8" s="94">
        <f>SUM('ORDENES '!P7)</f>
        <v>0</v>
      </c>
      <c r="E8" s="93">
        <f>SUM('ORDENES '!Q7)</f>
        <v>0</v>
      </c>
      <c r="F8" s="94">
        <f>SUM('ORDENES '!R7)</f>
        <v>0</v>
      </c>
      <c r="G8" s="93">
        <f>SUM('ORDENES '!S7)</f>
        <v>0</v>
      </c>
      <c r="H8" s="94">
        <f>SUM('ORDENES '!T7)</f>
        <v>33</v>
      </c>
      <c r="I8" s="93">
        <f>SUM('ORDENES '!U7)</f>
        <v>0</v>
      </c>
      <c r="J8" s="9">
        <f t="shared" si="4"/>
        <v>33</v>
      </c>
      <c r="K8" s="66">
        <f t="shared" si="0"/>
        <v>0</v>
      </c>
      <c r="L8" s="5">
        <f t="shared" si="5"/>
        <v>0</v>
      </c>
      <c r="M8" s="66">
        <f t="shared" si="6"/>
        <v>0</v>
      </c>
      <c r="N8" s="5">
        <f t="shared" si="7"/>
        <v>0</v>
      </c>
      <c r="O8" s="66">
        <f t="shared" si="8"/>
        <v>0</v>
      </c>
      <c r="P8" s="5">
        <f t="shared" si="9"/>
        <v>0</v>
      </c>
      <c r="Q8" s="66">
        <f t="shared" si="10"/>
        <v>0</v>
      </c>
      <c r="R8" s="5">
        <f t="shared" si="11"/>
        <v>0</v>
      </c>
      <c r="S8" s="66">
        <f t="shared" si="12"/>
        <v>0</v>
      </c>
      <c r="T8" s="5">
        <f t="shared" si="13"/>
        <v>0</v>
      </c>
      <c r="U8" s="66">
        <f t="shared" si="14"/>
        <v>1877.7</v>
      </c>
      <c r="V8" s="5">
        <f t="shared" si="15"/>
        <v>2970</v>
      </c>
      <c r="W8" s="66">
        <f t="shared" si="16"/>
        <v>0</v>
      </c>
      <c r="X8" s="5">
        <f t="shared" si="17"/>
        <v>0</v>
      </c>
      <c r="Y8" s="10">
        <f>SUM(PRECIOS!C8)</f>
        <v>56.9</v>
      </c>
      <c r="Z8" s="11">
        <f>SUM(PRECIOS!D8)</f>
        <v>90</v>
      </c>
      <c r="AA8" s="20">
        <f t="shared" si="1"/>
        <v>1877.7</v>
      </c>
      <c r="AB8" s="12">
        <f t="shared" si="2"/>
        <v>2970</v>
      </c>
      <c r="AC8" s="13">
        <f t="shared" si="3"/>
        <v>1092.3</v>
      </c>
      <c r="AD8" s="3"/>
      <c r="AE8" s="17"/>
      <c r="AF8" s="3"/>
      <c r="AG8" s="3"/>
      <c r="AH8" s="3"/>
      <c r="AI8" s="3"/>
      <c r="AJ8" s="6"/>
      <c r="AK8" s="6"/>
      <c r="AL8" s="6"/>
    </row>
    <row r="9" spans="1:38">
      <c r="A9" s="1">
        <v>6</v>
      </c>
      <c r="B9" s="89" t="str">
        <f>(PRECIOS!B9)</f>
        <v xml:space="preserve">PECHUGA DE POLLO </v>
      </c>
      <c r="C9" s="93">
        <f>SUM('ORDENES '!O8)</f>
        <v>0</v>
      </c>
      <c r="D9" s="94">
        <f>SUM('ORDENES '!P8)</f>
        <v>0</v>
      </c>
      <c r="E9" s="93">
        <f>SUM('ORDENES '!Q8)</f>
        <v>0</v>
      </c>
      <c r="F9" s="94">
        <f>SUM('ORDENES '!R8)</f>
        <v>0</v>
      </c>
      <c r="G9" s="93">
        <f>SUM('ORDENES '!S8)</f>
        <v>0</v>
      </c>
      <c r="H9" s="94">
        <f>SUM('ORDENES '!T8)</f>
        <v>0</v>
      </c>
      <c r="I9" s="93">
        <f>SUM('ORDENES '!U8)</f>
        <v>0</v>
      </c>
      <c r="J9" s="9">
        <f t="shared" si="4"/>
        <v>0</v>
      </c>
      <c r="K9" s="66">
        <f t="shared" ref="K9" si="18">SUM(C9*Y9)</f>
        <v>0</v>
      </c>
      <c r="L9" s="5">
        <f t="shared" ref="L9" si="19">SUM(C9*Z9)</f>
        <v>0</v>
      </c>
      <c r="M9" s="66">
        <f t="shared" ref="M9" si="20">SUM(D9*Y9)</f>
        <v>0</v>
      </c>
      <c r="N9" s="5">
        <f t="shared" ref="N9" si="21">SUM(D9*Z9)</f>
        <v>0</v>
      </c>
      <c r="O9" s="66">
        <f t="shared" ref="O9" si="22">SUM(E9*Y9)</f>
        <v>0</v>
      </c>
      <c r="P9" s="5">
        <f t="shared" ref="P9" si="23">SUM(E9*Z9)</f>
        <v>0</v>
      </c>
      <c r="Q9" s="66">
        <f t="shared" ref="Q9" si="24">SUM(F9*Y9)</f>
        <v>0</v>
      </c>
      <c r="R9" s="5">
        <f t="shared" ref="R9" si="25">SUM(F9*Z9)</f>
        <v>0</v>
      </c>
      <c r="S9" s="66">
        <f t="shared" ref="S9" si="26">SUM(G9*Y9)</f>
        <v>0</v>
      </c>
      <c r="T9" s="5">
        <f t="shared" ref="T9" si="27">SUM(G9*Z9)</f>
        <v>0</v>
      </c>
      <c r="U9" s="66">
        <f t="shared" ref="U9" si="28">SUM(H9*Y9)</f>
        <v>0</v>
      </c>
      <c r="V9" s="5">
        <f t="shared" ref="V9" si="29">SUM(H9*Z9)</f>
        <v>0</v>
      </c>
      <c r="W9" s="66">
        <f t="shared" ref="W9" si="30">SUM(I9*Y9)</f>
        <v>0</v>
      </c>
      <c r="X9" s="5">
        <f t="shared" ref="X9" si="31">SUM(I9*Z9)</f>
        <v>0</v>
      </c>
      <c r="Y9" s="10">
        <f>SUM(PRECIOS!C9)</f>
        <v>0</v>
      </c>
      <c r="Z9" s="11">
        <f>SUM(PRECIOS!D9)</f>
        <v>98</v>
      </c>
      <c r="AA9" s="20">
        <f t="shared" ref="AA9" si="32">Y9*J9</f>
        <v>0</v>
      </c>
      <c r="AB9" s="12">
        <f t="shared" ref="AB9" si="33">Z9*J9</f>
        <v>0</v>
      </c>
      <c r="AC9" s="13">
        <f t="shared" ref="AC9" si="34">AB9-AA9</f>
        <v>0</v>
      </c>
      <c r="AD9" s="3"/>
      <c r="AE9" s="17"/>
      <c r="AF9" s="3"/>
      <c r="AG9" s="3"/>
      <c r="AH9" s="3"/>
      <c r="AI9" s="3"/>
      <c r="AJ9" s="6"/>
      <c r="AK9" s="6"/>
      <c r="AL9" s="6"/>
    </row>
    <row r="10" spans="1:38">
      <c r="A10" s="1">
        <v>6</v>
      </c>
      <c r="B10" s="89" t="str">
        <f>(PRECIOS!B10)</f>
        <v>PECHUGA DE POLLO DESHUESADA</v>
      </c>
      <c r="C10" s="93">
        <f>SUM('ORDENES '!O9)</f>
        <v>7</v>
      </c>
      <c r="D10" s="94">
        <f>SUM('ORDENES '!P9)</f>
        <v>16</v>
      </c>
      <c r="E10" s="93">
        <f>SUM('ORDENES '!Q9)</f>
        <v>1.5</v>
      </c>
      <c r="F10" s="94">
        <f>SUM('ORDENES '!R9)</f>
        <v>13</v>
      </c>
      <c r="G10" s="93">
        <f>SUM('ORDENES '!S9)</f>
        <v>22</v>
      </c>
      <c r="H10" s="94">
        <f>SUM('ORDENES '!T9)</f>
        <v>2.5</v>
      </c>
      <c r="I10" s="93">
        <f>SUM('ORDENES '!U9)</f>
        <v>28</v>
      </c>
      <c r="J10" s="9">
        <f t="shared" si="4"/>
        <v>90</v>
      </c>
      <c r="K10" s="66">
        <f t="shared" si="0"/>
        <v>516.6</v>
      </c>
      <c r="L10" s="5">
        <f t="shared" si="5"/>
        <v>1050</v>
      </c>
      <c r="M10" s="66">
        <f t="shared" si="6"/>
        <v>1180.8</v>
      </c>
      <c r="N10" s="5">
        <f t="shared" si="7"/>
        <v>2400</v>
      </c>
      <c r="O10" s="66">
        <f t="shared" si="8"/>
        <v>110.69999999999999</v>
      </c>
      <c r="P10" s="5">
        <f t="shared" si="9"/>
        <v>225</v>
      </c>
      <c r="Q10" s="66">
        <f t="shared" si="10"/>
        <v>959.4</v>
      </c>
      <c r="R10" s="5">
        <f t="shared" si="11"/>
        <v>1950</v>
      </c>
      <c r="S10" s="66">
        <f t="shared" si="12"/>
        <v>1623.6</v>
      </c>
      <c r="T10" s="5">
        <f t="shared" si="13"/>
        <v>3300</v>
      </c>
      <c r="U10" s="66">
        <f t="shared" si="14"/>
        <v>184.5</v>
      </c>
      <c r="V10" s="5">
        <f t="shared" si="15"/>
        <v>375</v>
      </c>
      <c r="W10" s="66">
        <f t="shared" si="16"/>
        <v>2066.4</v>
      </c>
      <c r="X10" s="5">
        <f t="shared" si="17"/>
        <v>4200</v>
      </c>
      <c r="Y10" s="10">
        <f>SUM(PRECIOS!C10)</f>
        <v>73.8</v>
      </c>
      <c r="Z10" s="11">
        <f>SUM(PRECIOS!D10)</f>
        <v>150</v>
      </c>
      <c r="AA10" s="20">
        <f t="shared" si="1"/>
        <v>6642</v>
      </c>
      <c r="AB10" s="12">
        <f t="shared" si="2"/>
        <v>13500</v>
      </c>
      <c r="AC10" s="13">
        <f t="shared" si="3"/>
        <v>6858</v>
      </c>
      <c r="AD10" s="3"/>
      <c r="AE10" s="17"/>
      <c r="AF10" s="3"/>
      <c r="AG10" s="3"/>
      <c r="AH10" s="3"/>
      <c r="AI10" s="3"/>
      <c r="AJ10" s="6"/>
      <c r="AK10" s="6"/>
      <c r="AL10" s="6"/>
    </row>
    <row r="11" spans="1:38">
      <c r="A11" s="1">
        <v>7</v>
      </c>
      <c r="B11" s="89" t="str">
        <f>(PRECIOS!B11)</f>
        <v>PECHUGA  DESHUESADA EN BISTEC</v>
      </c>
      <c r="C11" s="93">
        <f>SUM('ORDENES '!O10)</f>
        <v>1</v>
      </c>
      <c r="D11" s="94">
        <f>SUM('ORDENES '!P10)</f>
        <v>3.5</v>
      </c>
      <c r="E11" s="93">
        <f>SUM('ORDENES '!Q10)</f>
        <v>9</v>
      </c>
      <c r="F11" s="94">
        <f>SUM('ORDENES '!R10)</f>
        <v>1</v>
      </c>
      <c r="G11" s="93">
        <f>SUM('ORDENES '!S10)</f>
        <v>0</v>
      </c>
      <c r="H11" s="94">
        <f>SUM('ORDENES '!T10)</f>
        <v>0</v>
      </c>
      <c r="I11" s="93">
        <f>SUM('ORDENES '!U10)</f>
        <v>0</v>
      </c>
      <c r="J11" s="9">
        <f t="shared" si="4"/>
        <v>14.5</v>
      </c>
      <c r="K11" s="66">
        <f t="shared" si="0"/>
        <v>73.8</v>
      </c>
      <c r="L11" s="5">
        <f t="shared" si="5"/>
        <v>150</v>
      </c>
      <c r="M11" s="66">
        <f t="shared" si="6"/>
        <v>258.3</v>
      </c>
      <c r="N11" s="5">
        <f t="shared" si="7"/>
        <v>525</v>
      </c>
      <c r="O11" s="66">
        <f t="shared" si="8"/>
        <v>664.19999999999993</v>
      </c>
      <c r="P11" s="5">
        <f t="shared" si="9"/>
        <v>1350</v>
      </c>
      <c r="Q11" s="66">
        <f t="shared" si="10"/>
        <v>73.8</v>
      </c>
      <c r="R11" s="5">
        <f t="shared" si="11"/>
        <v>150</v>
      </c>
      <c r="S11" s="66">
        <f t="shared" si="12"/>
        <v>0</v>
      </c>
      <c r="T11" s="5">
        <f t="shared" si="13"/>
        <v>0</v>
      </c>
      <c r="U11" s="66">
        <f t="shared" si="14"/>
        <v>0</v>
      </c>
      <c r="V11" s="5">
        <f t="shared" si="15"/>
        <v>0</v>
      </c>
      <c r="W11" s="66">
        <f t="shared" si="16"/>
        <v>0</v>
      </c>
      <c r="X11" s="5">
        <f t="shared" si="17"/>
        <v>0</v>
      </c>
      <c r="Y11" s="10">
        <f>SUM(PRECIOS!C11)</f>
        <v>73.8</v>
      </c>
      <c r="Z11" s="11">
        <f>SUM(PRECIOS!D11)</f>
        <v>150</v>
      </c>
      <c r="AA11" s="20">
        <f t="shared" si="1"/>
        <v>1070.0999999999999</v>
      </c>
      <c r="AB11" s="12">
        <f t="shared" si="2"/>
        <v>2175</v>
      </c>
      <c r="AC11" s="13">
        <f t="shared" si="3"/>
        <v>1104.9000000000001</v>
      </c>
      <c r="AD11" s="3"/>
      <c r="AE11" s="17"/>
      <c r="AF11" s="3"/>
      <c r="AG11" s="3"/>
      <c r="AH11" s="3"/>
      <c r="AI11" s="3"/>
      <c r="AJ11" s="6"/>
      <c r="AK11" s="6"/>
      <c r="AL11" s="6"/>
    </row>
    <row r="12" spans="1:38">
      <c r="A12" s="1">
        <v>8</v>
      </c>
      <c r="B12" s="89" t="str">
        <f>(PRECIOS!B12)</f>
        <v>PECHUGA DE POLLO  MÓLIDA</v>
      </c>
      <c r="C12" s="93">
        <f>SUM('ORDENES '!O11)</f>
        <v>0</v>
      </c>
      <c r="D12" s="94">
        <f>SUM('ORDENES '!P11)</f>
        <v>0</v>
      </c>
      <c r="E12" s="93">
        <f>SUM('ORDENES '!Q11)</f>
        <v>0</v>
      </c>
      <c r="F12" s="94">
        <f>SUM('ORDENES '!R11)</f>
        <v>0</v>
      </c>
      <c r="G12" s="93">
        <f>SUM('ORDENES '!S11)</f>
        <v>0</v>
      </c>
      <c r="H12" s="94">
        <f>SUM('ORDENES '!T11)</f>
        <v>0</v>
      </c>
      <c r="I12" s="93">
        <f>SUM('ORDENES '!U11)</f>
        <v>0</v>
      </c>
      <c r="J12" s="9">
        <f t="shared" si="4"/>
        <v>0</v>
      </c>
      <c r="K12" s="66">
        <f t="shared" si="0"/>
        <v>0</v>
      </c>
      <c r="L12" s="5">
        <f t="shared" si="5"/>
        <v>0</v>
      </c>
      <c r="M12" s="66">
        <f t="shared" si="6"/>
        <v>0</v>
      </c>
      <c r="N12" s="5">
        <f t="shared" si="7"/>
        <v>0</v>
      </c>
      <c r="O12" s="66">
        <f t="shared" si="8"/>
        <v>0</v>
      </c>
      <c r="P12" s="5">
        <f t="shared" si="9"/>
        <v>0</v>
      </c>
      <c r="Q12" s="66">
        <f t="shared" si="10"/>
        <v>0</v>
      </c>
      <c r="R12" s="5">
        <f t="shared" si="11"/>
        <v>0</v>
      </c>
      <c r="S12" s="66">
        <f t="shared" si="12"/>
        <v>0</v>
      </c>
      <c r="T12" s="5">
        <f t="shared" si="13"/>
        <v>0</v>
      </c>
      <c r="U12" s="66">
        <f t="shared" si="14"/>
        <v>0</v>
      </c>
      <c r="V12" s="5">
        <f t="shared" si="15"/>
        <v>0</v>
      </c>
      <c r="W12" s="66">
        <f t="shared" si="16"/>
        <v>0</v>
      </c>
      <c r="X12" s="5">
        <f t="shared" si="17"/>
        <v>0</v>
      </c>
      <c r="Y12" s="10">
        <f>SUM(PRECIOS!C12)</f>
        <v>55</v>
      </c>
      <c r="Z12" s="11">
        <f>SUM(PRECIOS!D12)</f>
        <v>75</v>
      </c>
      <c r="AA12" s="20">
        <f t="shared" si="1"/>
        <v>0</v>
      </c>
      <c r="AB12" s="12">
        <f t="shared" si="2"/>
        <v>0</v>
      </c>
      <c r="AC12" s="13">
        <f t="shared" si="3"/>
        <v>0</v>
      </c>
      <c r="AD12" s="3"/>
      <c r="AE12" s="17"/>
      <c r="AF12" s="3"/>
      <c r="AG12" s="3"/>
      <c r="AH12" s="3"/>
      <c r="AI12" s="3"/>
      <c r="AJ12" s="6"/>
      <c r="AK12" s="6"/>
      <c r="AL12" s="6"/>
    </row>
    <row r="13" spans="1:38" ht="22.5">
      <c r="A13" s="1">
        <v>9</v>
      </c>
      <c r="B13" s="89" t="str">
        <f>(PRECIOS!B13)</f>
        <v>PIERNA Y MUSLO DE POLLO SIN PIEL EN FORMA DE PISTOLA</v>
      </c>
      <c r="C13" s="93">
        <f>SUM('ORDENES '!O12)</f>
        <v>15</v>
      </c>
      <c r="D13" s="94">
        <f>SUM('ORDENES '!P12)</f>
        <v>25</v>
      </c>
      <c r="E13" s="93">
        <f>SUM('ORDENES '!Q12)</f>
        <v>0</v>
      </c>
      <c r="F13" s="94">
        <f>SUM('ORDENES '!R12)</f>
        <v>21</v>
      </c>
      <c r="G13" s="93">
        <f>SUM('ORDENES '!S12)</f>
        <v>0</v>
      </c>
      <c r="H13" s="94">
        <f>SUM('ORDENES '!T12)</f>
        <v>13</v>
      </c>
      <c r="I13" s="93">
        <f>SUM('ORDENES '!U12)</f>
        <v>0</v>
      </c>
      <c r="J13" s="9">
        <f t="shared" si="4"/>
        <v>74</v>
      </c>
      <c r="K13" s="66">
        <f t="shared" si="0"/>
        <v>537</v>
      </c>
      <c r="L13" s="5">
        <f t="shared" si="5"/>
        <v>975</v>
      </c>
      <c r="M13" s="66">
        <f t="shared" si="6"/>
        <v>894.99999999999989</v>
      </c>
      <c r="N13" s="5">
        <f t="shared" si="7"/>
        <v>1625</v>
      </c>
      <c r="O13" s="66">
        <f t="shared" si="8"/>
        <v>0</v>
      </c>
      <c r="P13" s="5">
        <f t="shared" si="9"/>
        <v>0</v>
      </c>
      <c r="Q13" s="66">
        <f t="shared" si="10"/>
        <v>751.8</v>
      </c>
      <c r="R13" s="5">
        <f t="shared" si="11"/>
        <v>1365</v>
      </c>
      <c r="S13" s="66">
        <f t="shared" si="12"/>
        <v>0</v>
      </c>
      <c r="T13" s="5">
        <f t="shared" si="13"/>
        <v>0</v>
      </c>
      <c r="U13" s="66">
        <f t="shared" si="14"/>
        <v>465.4</v>
      </c>
      <c r="V13" s="5">
        <f t="shared" si="15"/>
        <v>845</v>
      </c>
      <c r="W13" s="66">
        <f t="shared" si="16"/>
        <v>0</v>
      </c>
      <c r="X13" s="5">
        <f t="shared" si="17"/>
        <v>0</v>
      </c>
      <c r="Y13" s="10">
        <f>SUM(PRECIOS!C13)</f>
        <v>35.799999999999997</v>
      </c>
      <c r="Z13" s="11">
        <f>SUM(PRECIOS!D13)</f>
        <v>65</v>
      </c>
      <c r="AA13" s="20">
        <f t="shared" si="1"/>
        <v>2649.2</v>
      </c>
      <c r="AB13" s="12">
        <f t="shared" si="2"/>
        <v>4810</v>
      </c>
      <c r="AC13" s="13">
        <f t="shared" si="3"/>
        <v>2160.8000000000002</v>
      </c>
      <c r="AD13" s="3"/>
      <c r="AE13" s="17"/>
      <c r="AF13" s="3"/>
      <c r="AG13" s="3"/>
      <c r="AH13" s="3"/>
      <c r="AI13" s="3"/>
      <c r="AJ13" s="6"/>
      <c r="AK13" s="6"/>
      <c r="AL13" s="6"/>
    </row>
    <row r="14" spans="1:38">
      <c r="A14" s="1">
        <v>10</v>
      </c>
      <c r="B14" s="89" t="str">
        <f>(PRECIOS!B14)</f>
        <v>POLLO ENTERO</v>
      </c>
      <c r="C14" s="93">
        <f>SUM('ORDENES '!O13)</f>
        <v>0</v>
      </c>
      <c r="D14" s="94">
        <f>SUM('ORDENES '!P13)</f>
        <v>0</v>
      </c>
      <c r="E14" s="93">
        <f>SUM('ORDENES '!Q13)</f>
        <v>0</v>
      </c>
      <c r="F14" s="94">
        <f>SUM('ORDENES '!R13)</f>
        <v>0</v>
      </c>
      <c r="G14" s="93">
        <f>SUM('ORDENES '!S13)</f>
        <v>0</v>
      </c>
      <c r="H14" s="94">
        <f>SUM('ORDENES '!T13)</f>
        <v>0</v>
      </c>
      <c r="I14" s="93">
        <f>SUM('ORDENES '!U13)</f>
        <v>0</v>
      </c>
      <c r="J14" s="9">
        <f t="shared" si="4"/>
        <v>0</v>
      </c>
      <c r="K14" s="66">
        <f t="shared" si="0"/>
        <v>0</v>
      </c>
      <c r="L14" s="5">
        <f t="shared" si="5"/>
        <v>0</v>
      </c>
      <c r="M14" s="66">
        <f t="shared" si="6"/>
        <v>0</v>
      </c>
      <c r="N14" s="5">
        <f t="shared" si="7"/>
        <v>0</v>
      </c>
      <c r="O14" s="66">
        <f t="shared" si="8"/>
        <v>0</v>
      </c>
      <c r="P14" s="5">
        <f t="shared" si="9"/>
        <v>0</v>
      </c>
      <c r="Q14" s="66">
        <f t="shared" si="10"/>
        <v>0</v>
      </c>
      <c r="R14" s="5">
        <f t="shared" si="11"/>
        <v>0</v>
      </c>
      <c r="S14" s="66">
        <f t="shared" si="12"/>
        <v>0</v>
      </c>
      <c r="T14" s="5">
        <f t="shared" si="13"/>
        <v>0</v>
      </c>
      <c r="U14" s="66">
        <f t="shared" si="14"/>
        <v>0</v>
      </c>
      <c r="V14" s="5">
        <f t="shared" si="15"/>
        <v>0</v>
      </c>
      <c r="W14" s="66">
        <f t="shared" si="16"/>
        <v>0</v>
      </c>
      <c r="X14" s="5">
        <f t="shared" si="17"/>
        <v>0</v>
      </c>
      <c r="Y14" s="10">
        <f>SUM(PRECIOS!C14)</f>
        <v>50</v>
      </c>
      <c r="Z14" s="11">
        <f>SUM(PRECIOS!D14)</f>
        <v>50</v>
      </c>
      <c r="AA14" s="20">
        <f t="shared" si="1"/>
        <v>0</v>
      </c>
      <c r="AB14" s="12">
        <f t="shared" si="2"/>
        <v>0</v>
      </c>
      <c r="AC14" s="13">
        <f t="shared" si="3"/>
        <v>0</v>
      </c>
      <c r="AD14" s="3"/>
      <c r="AE14" s="17"/>
      <c r="AF14" s="3"/>
      <c r="AG14" s="3"/>
      <c r="AH14" s="3"/>
      <c r="AI14" s="3"/>
      <c r="AJ14" s="6"/>
      <c r="AK14" s="6"/>
      <c r="AL14" s="6"/>
    </row>
    <row r="15" spans="1:38">
      <c r="A15" s="1">
        <v>11</v>
      </c>
      <c r="B15" s="89" t="str">
        <f>(PRECIOS!B15)</f>
        <v>BISTEC DE PIERNA DE RES</v>
      </c>
      <c r="C15" s="93">
        <f>SUM('ORDENES '!O14)</f>
        <v>0</v>
      </c>
      <c r="D15" s="94">
        <f>SUM('ORDENES '!P14)</f>
        <v>13</v>
      </c>
      <c r="E15" s="93">
        <f>SUM('ORDENES '!Q14)</f>
        <v>8</v>
      </c>
      <c r="F15" s="94">
        <f>SUM('ORDENES '!R14)</f>
        <v>21</v>
      </c>
      <c r="G15" s="93">
        <f>SUM('ORDENES '!S14)</f>
        <v>11</v>
      </c>
      <c r="H15" s="94">
        <f>SUM('ORDENES '!T14)</f>
        <v>0</v>
      </c>
      <c r="I15" s="93">
        <f>SUM('ORDENES '!U14)</f>
        <v>0</v>
      </c>
      <c r="J15" s="9">
        <f t="shared" si="4"/>
        <v>53</v>
      </c>
      <c r="K15" s="66">
        <f t="shared" si="0"/>
        <v>0</v>
      </c>
      <c r="L15" s="5">
        <f t="shared" si="5"/>
        <v>0</v>
      </c>
      <c r="M15" s="66">
        <f t="shared" si="6"/>
        <v>1820</v>
      </c>
      <c r="N15" s="5">
        <f t="shared" si="7"/>
        <v>2080</v>
      </c>
      <c r="O15" s="66">
        <f t="shared" si="8"/>
        <v>1120</v>
      </c>
      <c r="P15" s="5">
        <f t="shared" si="9"/>
        <v>1280</v>
      </c>
      <c r="Q15" s="66">
        <f t="shared" si="10"/>
        <v>2940</v>
      </c>
      <c r="R15" s="5">
        <f t="shared" si="11"/>
        <v>3360</v>
      </c>
      <c r="S15" s="66">
        <f t="shared" si="12"/>
        <v>1540</v>
      </c>
      <c r="T15" s="5">
        <f t="shared" si="13"/>
        <v>1760</v>
      </c>
      <c r="U15" s="66">
        <f t="shared" si="14"/>
        <v>0</v>
      </c>
      <c r="V15" s="5">
        <f t="shared" si="15"/>
        <v>0</v>
      </c>
      <c r="W15" s="66">
        <f t="shared" si="16"/>
        <v>0</v>
      </c>
      <c r="X15" s="5">
        <f t="shared" si="17"/>
        <v>0</v>
      </c>
      <c r="Y15" s="10">
        <f>SUM(PRECIOS!C15)</f>
        <v>140</v>
      </c>
      <c r="Z15" s="11">
        <f>SUM(PRECIOS!D15)</f>
        <v>160</v>
      </c>
      <c r="AA15" s="20">
        <f t="shared" si="1"/>
        <v>7420</v>
      </c>
      <c r="AB15" s="12">
        <f t="shared" si="2"/>
        <v>8480</v>
      </c>
      <c r="AC15" s="13">
        <f t="shared" si="3"/>
        <v>1060</v>
      </c>
      <c r="AD15" s="3"/>
      <c r="AE15" s="17"/>
      <c r="AF15" s="3"/>
      <c r="AG15" s="3"/>
      <c r="AH15" s="3"/>
      <c r="AI15" s="3"/>
      <c r="AJ15" s="6"/>
      <c r="AK15" s="6"/>
      <c r="AL15" s="6"/>
    </row>
    <row r="16" spans="1:38">
      <c r="A16" s="1">
        <v>12</v>
      </c>
      <c r="B16" s="89" t="str">
        <f>(PRECIOS!B16)</f>
        <v>CHAMBARETE DE RES</v>
      </c>
      <c r="C16" s="93">
        <f>SUM('ORDENES '!O15)</f>
        <v>0</v>
      </c>
      <c r="D16" s="94">
        <f>SUM('ORDENES '!P15)</f>
        <v>0</v>
      </c>
      <c r="E16" s="93">
        <f>SUM('ORDENES '!Q15)</f>
        <v>0</v>
      </c>
      <c r="F16" s="94">
        <f>SUM('ORDENES '!R15)</f>
        <v>0</v>
      </c>
      <c r="G16" s="93">
        <f>SUM('ORDENES '!S15)</f>
        <v>0</v>
      </c>
      <c r="H16" s="94">
        <f>SUM('ORDENES '!T15)</f>
        <v>0</v>
      </c>
      <c r="I16" s="93">
        <f>SUM('ORDENES '!U15)</f>
        <v>0</v>
      </c>
      <c r="J16" s="9">
        <f t="shared" si="4"/>
        <v>0</v>
      </c>
      <c r="K16" s="66">
        <f t="shared" si="0"/>
        <v>0</v>
      </c>
      <c r="L16" s="5">
        <f t="shared" si="5"/>
        <v>0</v>
      </c>
      <c r="M16" s="66">
        <f t="shared" si="6"/>
        <v>0</v>
      </c>
      <c r="N16" s="5">
        <f t="shared" si="7"/>
        <v>0</v>
      </c>
      <c r="O16" s="66">
        <f t="shared" si="8"/>
        <v>0</v>
      </c>
      <c r="P16" s="5">
        <f t="shared" si="9"/>
        <v>0</v>
      </c>
      <c r="Q16" s="66">
        <f t="shared" si="10"/>
        <v>0</v>
      </c>
      <c r="R16" s="5">
        <f t="shared" si="11"/>
        <v>0</v>
      </c>
      <c r="S16" s="66">
        <f t="shared" si="12"/>
        <v>0</v>
      </c>
      <c r="T16" s="5">
        <f t="shared" si="13"/>
        <v>0</v>
      </c>
      <c r="U16" s="66">
        <f t="shared" si="14"/>
        <v>0</v>
      </c>
      <c r="V16" s="5">
        <f t="shared" si="15"/>
        <v>0</v>
      </c>
      <c r="W16" s="66">
        <f t="shared" si="16"/>
        <v>0</v>
      </c>
      <c r="X16" s="5">
        <f t="shared" si="17"/>
        <v>0</v>
      </c>
      <c r="Y16" s="10">
        <f>SUM(PRECIOS!C16)</f>
        <v>120</v>
      </c>
      <c r="Z16" s="11">
        <f>SUM(PRECIOS!D16)</f>
        <v>120</v>
      </c>
      <c r="AA16" s="20">
        <f t="shared" si="1"/>
        <v>0</v>
      </c>
      <c r="AB16" s="12">
        <f t="shared" si="2"/>
        <v>0</v>
      </c>
      <c r="AC16" s="13">
        <f t="shared" si="3"/>
        <v>0</v>
      </c>
      <c r="AD16" s="3"/>
      <c r="AE16" s="17"/>
      <c r="AF16" s="3"/>
      <c r="AG16" s="3"/>
      <c r="AH16" s="3"/>
      <c r="AI16" s="3"/>
      <c r="AJ16" s="6"/>
      <c r="AK16" s="6"/>
      <c r="AL16" s="6"/>
    </row>
    <row r="17" spans="1:38">
      <c r="A17" s="1">
        <v>13</v>
      </c>
      <c r="B17" s="89" t="str">
        <f>(PRECIOS!B17)</f>
        <v>CUETE DE PIERNA DE RES</v>
      </c>
      <c r="C17" s="93">
        <f>SUM('ORDENES '!O16)</f>
        <v>0</v>
      </c>
      <c r="D17" s="94">
        <f>SUM('ORDENES '!P16)</f>
        <v>0</v>
      </c>
      <c r="E17" s="93">
        <f>SUM('ORDENES '!Q16)</f>
        <v>0</v>
      </c>
      <c r="F17" s="94">
        <f>SUM('ORDENES '!R16)</f>
        <v>0</v>
      </c>
      <c r="G17" s="93">
        <f>SUM('ORDENES '!S16)</f>
        <v>0</v>
      </c>
      <c r="H17" s="94">
        <f>SUM('ORDENES '!T16)</f>
        <v>0</v>
      </c>
      <c r="I17" s="93">
        <f>SUM('ORDENES '!U16)</f>
        <v>0</v>
      </c>
      <c r="J17" s="9">
        <f t="shared" si="4"/>
        <v>0</v>
      </c>
      <c r="K17" s="66">
        <f t="shared" si="0"/>
        <v>0</v>
      </c>
      <c r="L17" s="5">
        <f t="shared" si="5"/>
        <v>0</v>
      </c>
      <c r="M17" s="66">
        <f t="shared" si="6"/>
        <v>0</v>
      </c>
      <c r="N17" s="5">
        <f t="shared" si="7"/>
        <v>0</v>
      </c>
      <c r="O17" s="66">
        <f t="shared" si="8"/>
        <v>0</v>
      </c>
      <c r="P17" s="5">
        <f t="shared" si="9"/>
        <v>0</v>
      </c>
      <c r="Q17" s="66">
        <f t="shared" si="10"/>
        <v>0</v>
      </c>
      <c r="R17" s="5">
        <f t="shared" si="11"/>
        <v>0</v>
      </c>
      <c r="S17" s="66">
        <f t="shared" si="12"/>
        <v>0</v>
      </c>
      <c r="T17" s="5">
        <f t="shared" si="13"/>
        <v>0</v>
      </c>
      <c r="U17" s="66">
        <f t="shared" si="14"/>
        <v>0</v>
      </c>
      <c r="V17" s="5">
        <f t="shared" si="15"/>
        <v>0</v>
      </c>
      <c r="W17" s="66">
        <f t="shared" si="16"/>
        <v>0</v>
      </c>
      <c r="X17" s="5">
        <f t="shared" si="17"/>
        <v>0</v>
      </c>
      <c r="Y17" s="10">
        <f>SUM(PRECIOS!C17)</f>
        <v>89</v>
      </c>
      <c r="Z17" s="11">
        <f>SUM(PRECIOS!D17)</f>
        <v>120</v>
      </c>
      <c r="AA17" s="20">
        <f t="shared" si="1"/>
        <v>0</v>
      </c>
      <c r="AB17" s="12">
        <f t="shared" si="2"/>
        <v>0</v>
      </c>
      <c r="AC17" s="13">
        <f t="shared" si="3"/>
        <v>0</v>
      </c>
      <c r="AD17" s="3"/>
      <c r="AE17" s="17"/>
      <c r="AF17" s="3"/>
      <c r="AG17" s="3"/>
      <c r="AH17" s="3"/>
      <c r="AI17" s="3"/>
      <c r="AJ17" s="6"/>
      <c r="AK17" s="6"/>
      <c r="AL17" s="6"/>
    </row>
    <row r="18" spans="1:38">
      <c r="A18" s="1">
        <v>14</v>
      </c>
      <c r="B18" s="89" t="str">
        <f>(PRECIOS!B18)</f>
        <v>FALDA DE RES</v>
      </c>
      <c r="C18" s="93">
        <f>SUM('ORDENES '!O17)</f>
        <v>0</v>
      </c>
      <c r="D18" s="94">
        <f>SUM('ORDENES '!P17)</f>
        <v>0</v>
      </c>
      <c r="E18" s="93">
        <f>SUM('ORDENES '!Q17)</f>
        <v>0</v>
      </c>
      <c r="F18" s="94">
        <f>SUM('ORDENES '!R17)</f>
        <v>0</v>
      </c>
      <c r="G18" s="93">
        <f>SUM('ORDENES '!S17)</f>
        <v>0</v>
      </c>
      <c r="H18" s="94">
        <f>SUM('ORDENES '!T17)</f>
        <v>0</v>
      </c>
      <c r="I18" s="93">
        <f>SUM('ORDENES '!U17)</f>
        <v>0</v>
      </c>
      <c r="J18" s="9">
        <f t="shared" si="4"/>
        <v>0</v>
      </c>
      <c r="K18" s="66">
        <f t="shared" si="0"/>
        <v>0</v>
      </c>
      <c r="L18" s="5">
        <f t="shared" si="5"/>
        <v>0</v>
      </c>
      <c r="M18" s="66">
        <f t="shared" si="6"/>
        <v>0</v>
      </c>
      <c r="N18" s="5">
        <f t="shared" si="7"/>
        <v>0</v>
      </c>
      <c r="O18" s="66">
        <f t="shared" si="8"/>
        <v>0</v>
      </c>
      <c r="P18" s="5">
        <f t="shared" si="9"/>
        <v>0</v>
      </c>
      <c r="Q18" s="66">
        <f t="shared" si="10"/>
        <v>0</v>
      </c>
      <c r="R18" s="5">
        <f t="shared" si="11"/>
        <v>0</v>
      </c>
      <c r="S18" s="66">
        <f t="shared" si="12"/>
        <v>0</v>
      </c>
      <c r="T18" s="5">
        <f t="shared" si="13"/>
        <v>0</v>
      </c>
      <c r="U18" s="66">
        <f t="shared" si="14"/>
        <v>0</v>
      </c>
      <c r="V18" s="5">
        <f t="shared" si="15"/>
        <v>0</v>
      </c>
      <c r="W18" s="66">
        <f t="shared" si="16"/>
        <v>0</v>
      </c>
      <c r="X18" s="5">
        <f t="shared" si="17"/>
        <v>0</v>
      </c>
      <c r="Y18" s="10">
        <f>SUM(PRECIOS!C18)</f>
        <v>80</v>
      </c>
      <c r="Z18" s="11">
        <f>SUM(PRECIOS!D18)</f>
        <v>140</v>
      </c>
      <c r="AA18" s="20">
        <f t="shared" si="1"/>
        <v>0</v>
      </c>
      <c r="AB18" s="12">
        <f t="shared" si="2"/>
        <v>0</v>
      </c>
      <c r="AC18" s="13">
        <f t="shared" si="3"/>
        <v>0</v>
      </c>
      <c r="AD18" s="3"/>
      <c r="AE18" s="17"/>
      <c r="AF18" s="3"/>
      <c r="AG18" s="3"/>
      <c r="AH18" s="3"/>
      <c r="AI18" s="3"/>
      <c r="AJ18" s="6"/>
      <c r="AK18" s="6"/>
      <c r="AL18" s="6"/>
    </row>
    <row r="19" spans="1:38">
      <c r="A19" s="1">
        <v>15</v>
      </c>
      <c r="B19" s="89" t="str">
        <f>(PRECIOS!B19)</f>
        <v>PULPA DE RES EN TROZO</v>
      </c>
      <c r="C19" s="93">
        <f>SUM('ORDENES '!O18)</f>
        <v>17</v>
      </c>
      <c r="D19" s="94">
        <f>SUM('ORDENES '!P18)</f>
        <v>0</v>
      </c>
      <c r="E19" s="93">
        <f>SUM('ORDENES '!Q18)</f>
        <v>0</v>
      </c>
      <c r="F19" s="94">
        <f>SUM('ORDENES '!R18)</f>
        <v>0</v>
      </c>
      <c r="G19" s="93">
        <f>SUM('ORDENES '!S18)</f>
        <v>6</v>
      </c>
      <c r="H19" s="94">
        <f>SUM('ORDENES '!T18)</f>
        <v>7</v>
      </c>
      <c r="I19" s="93">
        <f>SUM('ORDENES '!U18)</f>
        <v>0</v>
      </c>
      <c r="J19" s="9">
        <f t="shared" si="4"/>
        <v>30</v>
      </c>
      <c r="K19" s="66">
        <f t="shared" si="0"/>
        <v>1530</v>
      </c>
      <c r="L19" s="5">
        <f t="shared" si="5"/>
        <v>2465</v>
      </c>
      <c r="M19" s="66">
        <f t="shared" si="6"/>
        <v>0</v>
      </c>
      <c r="N19" s="5">
        <f t="shared" si="7"/>
        <v>0</v>
      </c>
      <c r="O19" s="66">
        <f t="shared" si="8"/>
        <v>0</v>
      </c>
      <c r="P19" s="5">
        <f t="shared" si="9"/>
        <v>0</v>
      </c>
      <c r="Q19" s="66">
        <f t="shared" si="10"/>
        <v>0</v>
      </c>
      <c r="R19" s="5">
        <f t="shared" si="11"/>
        <v>0</v>
      </c>
      <c r="S19" s="66">
        <f t="shared" si="12"/>
        <v>540</v>
      </c>
      <c r="T19" s="5">
        <f t="shared" si="13"/>
        <v>870</v>
      </c>
      <c r="U19" s="66">
        <f t="shared" si="14"/>
        <v>630</v>
      </c>
      <c r="V19" s="5">
        <f t="shared" si="15"/>
        <v>1015</v>
      </c>
      <c r="W19" s="66">
        <f t="shared" si="16"/>
        <v>0</v>
      </c>
      <c r="X19" s="5">
        <f t="shared" si="17"/>
        <v>0</v>
      </c>
      <c r="Y19" s="10">
        <f>SUM(PRECIOS!C19)</f>
        <v>90</v>
      </c>
      <c r="Z19" s="11">
        <f>SUM(PRECIOS!D19)</f>
        <v>145</v>
      </c>
      <c r="AA19" s="20">
        <f t="shared" si="1"/>
        <v>2700</v>
      </c>
      <c r="AB19" s="12">
        <f t="shared" si="2"/>
        <v>4350</v>
      </c>
      <c r="AC19" s="13">
        <f t="shared" si="3"/>
        <v>1650</v>
      </c>
      <c r="AD19" s="3"/>
      <c r="AE19" s="17"/>
      <c r="AF19" s="3"/>
      <c r="AG19" s="3"/>
      <c r="AH19" s="3"/>
      <c r="AI19" s="3"/>
      <c r="AJ19" s="6"/>
      <c r="AK19" s="6"/>
      <c r="AL19" s="6"/>
    </row>
    <row r="20" spans="1:38">
      <c r="A20" s="1">
        <v>16</v>
      </c>
      <c r="B20" s="89" t="str">
        <f>(PRECIOS!B20)</f>
        <v>PULPA DE RES MOLIDA</v>
      </c>
      <c r="C20" s="93">
        <f>SUM('ORDENES '!O19)</f>
        <v>10</v>
      </c>
      <c r="D20" s="94">
        <f>SUM('ORDENES '!P19)</f>
        <v>1</v>
      </c>
      <c r="E20" s="93">
        <f>SUM('ORDENES '!Q19)</f>
        <v>7.5</v>
      </c>
      <c r="F20" s="94">
        <f>SUM('ORDENES '!R19)</f>
        <v>1.5</v>
      </c>
      <c r="G20" s="93">
        <f>SUM('ORDENES '!S19)</f>
        <v>1</v>
      </c>
      <c r="H20" s="94">
        <f>SUM('ORDENES '!T19)</f>
        <v>1</v>
      </c>
      <c r="I20" s="93">
        <f>SUM('ORDENES '!U19)</f>
        <v>10</v>
      </c>
      <c r="J20" s="9">
        <f t="shared" si="4"/>
        <v>32</v>
      </c>
      <c r="K20" s="66">
        <f t="shared" si="0"/>
        <v>750</v>
      </c>
      <c r="L20" s="5">
        <f t="shared" si="5"/>
        <v>1300</v>
      </c>
      <c r="M20" s="66">
        <f t="shared" si="6"/>
        <v>75</v>
      </c>
      <c r="N20" s="5">
        <f t="shared" si="7"/>
        <v>130</v>
      </c>
      <c r="O20" s="66">
        <f t="shared" si="8"/>
        <v>562.5</v>
      </c>
      <c r="P20" s="5">
        <f t="shared" si="9"/>
        <v>975</v>
      </c>
      <c r="Q20" s="66">
        <f t="shared" si="10"/>
        <v>112.5</v>
      </c>
      <c r="R20" s="5">
        <f t="shared" si="11"/>
        <v>195</v>
      </c>
      <c r="S20" s="66">
        <f t="shared" si="12"/>
        <v>75</v>
      </c>
      <c r="T20" s="5">
        <f t="shared" si="13"/>
        <v>130</v>
      </c>
      <c r="U20" s="66">
        <f t="shared" si="14"/>
        <v>75</v>
      </c>
      <c r="V20" s="5">
        <f t="shared" si="15"/>
        <v>130</v>
      </c>
      <c r="W20" s="66">
        <f t="shared" si="16"/>
        <v>750</v>
      </c>
      <c r="X20" s="5">
        <f t="shared" si="17"/>
        <v>1300</v>
      </c>
      <c r="Y20" s="10">
        <f>SUM(PRECIOS!C20)</f>
        <v>75</v>
      </c>
      <c r="Z20" s="11">
        <f>SUM(PRECIOS!D20)</f>
        <v>130</v>
      </c>
      <c r="AA20" s="20">
        <f t="shared" si="1"/>
        <v>2400</v>
      </c>
      <c r="AB20" s="12">
        <f t="shared" si="2"/>
        <v>4160</v>
      </c>
      <c r="AC20" s="13">
        <f t="shared" si="3"/>
        <v>1760</v>
      </c>
      <c r="AD20" s="3"/>
      <c r="AE20" s="17"/>
      <c r="AF20" s="3"/>
      <c r="AG20" s="3"/>
      <c r="AH20" s="3"/>
      <c r="AI20" s="3"/>
      <c r="AJ20" s="6"/>
      <c r="AK20" s="6"/>
      <c r="AL20" s="6"/>
    </row>
    <row r="21" spans="1:38">
      <c r="A21" s="1">
        <v>17</v>
      </c>
      <c r="B21" s="89" t="str">
        <f>(PRECIOS!B21)</f>
        <v>HUEVO ENTERO</v>
      </c>
      <c r="C21" s="93">
        <f>SUM('ORDENES '!O20)</f>
        <v>17</v>
      </c>
      <c r="D21" s="94">
        <f>SUM('ORDENES '!P20)</f>
        <v>0</v>
      </c>
      <c r="E21" s="93">
        <f>SUM('ORDENES '!Q20)</f>
        <v>20</v>
      </c>
      <c r="F21" s="94">
        <f>SUM('ORDENES '!R20)</f>
        <v>4.5</v>
      </c>
      <c r="G21" s="93">
        <f>SUM('ORDENES '!S20)</f>
        <v>21</v>
      </c>
      <c r="H21" s="94">
        <f>SUM('ORDENES '!T20)</f>
        <v>11</v>
      </c>
      <c r="I21" s="93">
        <f>SUM('ORDENES '!U20)</f>
        <v>4</v>
      </c>
      <c r="J21" s="9">
        <f t="shared" si="4"/>
        <v>77.5</v>
      </c>
      <c r="K21" s="66">
        <f t="shared" si="0"/>
        <v>453.9</v>
      </c>
      <c r="L21" s="5">
        <f t="shared" si="5"/>
        <v>646</v>
      </c>
      <c r="M21" s="66">
        <f t="shared" si="6"/>
        <v>0</v>
      </c>
      <c r="N21" s="5">
        <f t="shared" si="7"/>
        <v>0</v>
      </c>
      <c r="O21" s="66">
        <f t="shared" si="8"/>
        <v>534</v>
      </c>
      <c r="P21" s="5">
        <f t="shared" si="9"/>
        <v>760</v>
      </c>
      <c r="Q21" s="66">
        <f t="shared" si="10"/>
        <v>120.14999999999999</v>
      </c>
      <c r="R21" s="5">
        <f t="shared" si="11"/>
        <v>171</v>
      </c>
      <c r="S21" s="66">
        <f t="shared" si="12"/>
        <v>560.69999999999993</v>
      </c>
      <c r="T21" s="5">
        <f t="shared" si="13"/>
        <v>798</v>
      </c>
      <c r="U21" s="66">
        <f t="shared" si="14"/>
        <v>293.7</v>
      </c>
      <c r="V21" s="5">
        <f t="shared" si="15"/>
        <v>418</v>
      </c>
      <c r="W21" s="66">
        <f t="shared" si="16"/>
        <v>106.8</v>
      </c>
      <c r="X21" s="5">
        <f t="shared" si="17"/>
        <v>152</v>
      </c>
      <c r="Y21" s="10">
        <f>SUM(PRECIOS!C21)</f>
        <v>26.7</v>
      </c>
      <c r="Z21" s="11">
        <f>SUM(PRECIOS!D21)</f>
        <v>38</v>
      </c>
      <c r="AA21" s="20">
        <f t="shared" si="1"/>
        <v>2069.25</v>
      </c>
      <c r="AB21" s="12">
        <f t="shared" si="2"/>
        <v>2945</v>
      </c>
      <c r="AC21" s="13">
        <f t="shared" si="3"/>
        <v>875.75</v>
      </c>
      <c r="AD21" s="3"/>
      <c r="AE21" s="17"/>
      <c r="AF21" s="3"/>
      <c r="AG21" s="3"/>
      <c r="AH21" s="3"/>
      <c r="AI21" s="3"/>
      <c r="AJ21" s="6"/>
      <c r="AK21" s="6"/>
      <c r="AL21" s="6"/>
    </row>
    <row r="22" spans="1:38" ht="22.5">
      <c r="A22" s="1">
        <v>18</v>
      </c>
      <c r="B22" s="89" t="str">
        <f>(PRECIOS!B22)</f>
        <v>JAMÓN DE CERDO FINO CON 16% DE PROTEÍNA</v>
      </c>
      <c r="C22" s="93">
        <f>SUM('ORDENES '!O21)</f>
        <v>0</v>
      </c>
      <c r="D22" s="94">
        <f>SUM('ORDENES '!P21)</f>
        <v>0</v>
      </c>
      <c r="E22" s="93">
        <f>SUM('ORDENES '!Q21)</f>
        <v>0</v>
      </c>
      <c r="F22" s="94">
        <f>SUM('ORDENES '!R21)</f>
        <v>0</v>
      </c>
      <c r="G22" s="93">
        <f>SUM('ORDENES '!S21)</f>
        <v>0</v>
      </c>
      <c r="H22" s="94">
        <f>SUM('ORDENES '!T21)</f>
        <v>0</v>
      </c>
      <c r="I22" s="93">
        <f>SUM('ORDENES '!U21)</f>
        <v>0</v>
      </c>
      <c r="J22" s="9">
        <f t="shared" si="4"/>
        <v>0</v>
      </c>
      <c r="K22" s="66">
        <f t="shared" si="0"/>
        <v>0</v>
      </c>
      <c r="L22" s="5">
        <f t="shared" si="5"/>
        <v>0</v>
      </c>
      <c r="M22" s="66">
        <f t="shared" si="6"/>
        <v>0</v>
      </c>
      <c r="N22" s="5">
        <f t="shared" si="7"/>
        <v>0</v>
      </c>
      <c r="O22" s="66">
        <f t="shared" si="8"/>
        <v>0</v>
      </c>
      <c r="P22" s="5">
        <f t="shared" si="9"/>
        <v>0</v>
      </c>
      <c r="Q22" s="66">
        <f t="shared" si="10"/>
        <v>0</v>
      </c>
      <c r="R22" s="5">
        <f t="shared" si="11"/>
        <v>0</v>
      </c>
      <c r="S22" s="66">
        <f t="shared" si="12"/>
        <v>0</v>
      </c>
      <c r="T22" s="5">
        <f t="shared" si="13"/>
        <v>0</v>
      </c>
      <c r="U22" s="66">
        <f t="shared" si="14"/>
        <v>0</v>
      </c>
      <c r="V22" s="5">
        <f t="shared" si="15"/>
        <v>0</v>
      </c>
      <c r="W22" s="66">
        <f t="shared" si="16"/>
        <v>0</v>
      </c>
      <c r="X22" s="5">
        <f t="shared" si="17"/>
        <v>0</v>
      </c>
      <c r="Y22" s="10">
        <f>SUM(PRECIOS!C22)</f>
        <v>80</v>
      </c>
      <c r="Z22" s="11">
        <f>SUM(PRECIOS!D22)</f>
        <v>180</v>
      </c>
      <c r="AA22" s="20">
        <f t="shared" si="1"/>
        <v>0</v>
      </c>
      <c r="AB22" s="12">
        <f t="shared" si="2"/>
        <v>0</v>
      </c>
      <c r="AC22" s="13">
        <f t="shared" si="3"/>
        <v>0</v>
      </c>
      <c r="AD22" s="3"/>
      <c r="AE22" s="17"/>
      <c r="AF22" s="3"/>
      <c r="AG22" s="3"/>
      <c r="AH22" s="3"/>
      <c r="AI22" s="3"/>
      <c r="AJ22" s="6"/>
      <c r="AK22" s="6"/>
      <c r="AL22" s="6"/>
    </row>
    <row r="23" spans="1:38">
      <c r="A23" s="1">
        <v>19</v>
      </c>
      <c r="B23" s="89" t="str">
        <f>(PRECIOS!B23)</f>
        <v>JAMÓN DE PAVO</v>
      </c>
      <c r="C23" s="93">
        <f>SUM('ORDENES '!O22)</f>
        <v>8</v>
      </c>
      <c r="D23" s="94">
        <f>SUM('ORDENES '!P22)</f>
        <v>7</v>
      </c>
      <c r="E23" s="93">
        <f>SUM('ORDENES '!Q22)</f>
        <v>0.5</v>
      </c>
      <c r="F23" s="94">
        <f>SUM('ORDENES '!R22)</f>
        <v>5</v>
      </c>
      <c r="G23" s="93">
        <f>SUM('ORDENES '!S22)</f>
        <v>2</v>
      </c>
      <c r="H23" s="94">
        <f>SUM('ORDENES '!T22)</f>
        <v>5</v>
      </c>
      <c r="I23" s="93">
        <f>SUM('ORDENES '!U22)</f>
        <v>9</v>
      </c>
      <c r="J23" s="9">
        <f t="shared" si="4"/>
        <v>36.5</v>
      </c>
      <c r="K23" s="66">
        <f t="shared" si="0"/>
        <v>480</v>
      </c>
      <c r="L23" s="5">
        <f t="shared" si="5"/>
        <v>960</v>
      </c>
      <c r="M23" s="66">
        <f t="shared" si="6"/>
        <v>420</v>
      </c>
      <c r="N23" s="5">
        <f t="shared" si="7"/>
        <v>840</v>
      </c>
      <c r="O23" s="66">
        <f t="shared" si="8"/>
        <v>30</v>
      </c>
      <c r="P23" s="5">
        <f t="shared" si="9"/>
        <v>60</v>
      </c>
      <c r="Q23" s="66">
        <f t="shared" si="10"/>
        <v>300</v>
      </c>
      <c r="R23" s="5">
        <f t="shared" si="11"/>
        <v>600</v>
      </c>
      <c r="S23" s="66">
        <f t="shared" si="12"/>
        <v>120</v>
      </c>
      <c r="T23" s="5">
        <f t="shared" si="13"/>
        <v>240</v>
      </c>
      <c r="U23" s="66">
        <f t="shared" si="14"/>
        <v>300</v>
      </c>
      <c r="V23" s="5">
        <f t="shared" si="15"/>
        <v>600</v>
      </c>
      <c r="W23" s="66">
        <f t="shared" si="16"/>
        <v>540</v>
      </c>
      <c r="X23" s="5">
        <f t="shared" si="17"/>
        <v>1080</v>
      </c>
      <c r="Y23" s="10">
        <f>SUM(PRECIOS!C23)</f>
        <v>60</v>
      </c>
      <c r="Z23" s="11">
        <f>SUM(PRECIOS!D23)</f>
        <v>120</v>
      </c>
      <c r="AA23" s="20">
        <f t="shared" si="1"/>
        <v>2190</v>
      </c>
      <c r="AB23" s="12">
        <f t="shared" si="2"/>
        <v>4380</v>
      </c>
      <c r="AC23" s="13">
        <f t="shared" si="3"/>
        <v>2190</v>
      </c>
      <c r="AD23" s="3"/>
      <c r="AE23" s="17"/>
      <c r="AF23" s="3"/>
      <c r="AG23" s="3"/>
      <c r="AH23" s="3"/>
      <c r="AI23" s="3"/>
      <c r="AJ23" s="6"/>
      <c r="AK23" s="6"/>
      <c r="AL23" s="6"/>
    </row>
    <row r="24" spans="1:38">
      <c r="A24" s="1">
        <v>20</v>
      </c>
      <c r="B24" s="89" t="str">
        <f>(PRECIOS!B24)</f>
        <v>JAMÓN DE PECHUGA DE PAVO</v>
      </c>
      <c r="C24" s="93">
        <f>SUM('ORDENES '!O23)</f>
        <v>0</v>
      </c>
      <c r="D24" s="94">
        <f>SUM('ORDENES '!P23)</f>
        <v>0</v>
      </c>
      <c r="E24" s="93">
        <f>SUM('ORDENES '!Q23)</f>
        <v>0</v>
      </c>
      <c r="F24" s="94">
        <f>SUM('ORDENES '!R23)</f>
        <v>0</v>
      </c>
      <c r="G24" s="93">
        <f>SUM('ORDENES '!S23)</f>
        <v>0</v>
      </c>
      <c r="H24" s="94">
        <f>SUM('ORDENES '!T23)</f>
        <v>0</v>
      </c>
      <c r="I24" s="93">
        <f>SUM('ORDENES '!U23)</f>
        <v>0</v>
      </c>
      <c r="J24" s="9">
        <f t="shared" si="4"/>
        <v>0</v>
      </c>
      <c r="K24" s="66">
        <f t="shared" si="0"/>
        <v>0</v>
      </c>
      <c r="L24" s="5">
        <f t="shared" si="5"/>
        <v>0</v>
      </c>
      <c r="M24" s="66">
        <f t="shared" si="6"/>
        <v>0</v>
      </c>
      <c r="N24" s="5">
        <f t="shared" si="7"/>
        <v>0</v>
      </c>
      <c r="O24" s="66">
        <f t="shared" si="8"/>
        <v>0</v>
      </c>
      <c r="P24" s="5">
        <f t="shared" si="9"/>
        <v>0</v>
      </c>
      <c r="Q24" s="66">
        <f t="shared" si="10"/>
        <v>0</v>
      </c>
      <c r="R24" s="5">
        <f t="shared" si="11"/>
        <v>0</v>
      </c>
      <c r="S24" s="66">
        <f t="shared" si="12"/>
        <v>0</v>
      </c>
      <c r="T24" s="5">
        <f t="shared" si="13"/>
        <v>0</v>
      </c>
      <c r="U24" s="66">
        <f t="shared" si="14"/>
        <v>0</v>
      </c>
      <c r="V24" s="5">
        <f t="shared" si="15"/>
        <v>0</v>
      </c>
      <c r="W24" s="66">
        <f t="shared" si="16"/>
        <v>0</v>
      </c>
      <c r="X24" s="5">
        <f t="shared" si="17"/>
        <v>0</v>
      </c>
      <c r="Y24" s="10">
        <f>SUM(PRECIOS!C24)</f>
        <v>60</v>
      </c>
      <c r="Z24" s="11">
        <f>SUM(PRECIOS!D24)</f>
        <v>140</v>
      </c>
      <c r="AA24" s="20">
        <f t="shared" si="1"/>
        <v>0</v>
      </c>
      <c r="AB24" s="12">
        <f t="shared" si="2"/>
        <v>0</v>
      </c>
      <c r="AC24" s="13">
        <f t="shared" si="3"/>
        <v>0</v>
      </c>
      <c r="AD24" s="3"/>
      <c r="AE24" s="17"/>
      <c r="AF24" s="3"/>
      <c r="AG24" s="3"/>
      <c r="AH24" s="3"/>
      <c r="AI24" s="3"/>
      <c r="AJ24" s="6"/>
      <c r="AK24" s="6"/>
      <c r="AL24" s="6"/>
    </row>
    <row r="25" spans="1:38">
      <c r="A25" s="1">
        <v>21</v>
      </c>
      <c r="B25" s="89" t="str">
        <f>(PRECIOS!B25)</f>
        <v>MORTADELA</v>
      </c>
      <c r="C25" s="93">
        <f>SUM('ORDENES '!O24)</f>
        <v>0</v>
      </c>
      <c r="D25" s="94">
        <f>SUM('ORDENES '!P24)</f>
        <v>0</v>
      </c>
      <c r="E25" s="93">
        <f>SUM('ORDENES '!Q24)</f>
        <v>0</v>
      </c>
      <c r="F25" s="94">
        <f>SUM('ORDENES '!R24)</f>
        <v>0</v>
      </c>
      <c r="G25" s="93">
        <f>SUM('ORDENES '!S24)</f>
        <v>0</v>
      </c>
      <c r="H25" s="94">
        <f>SUM('ORDENES '!T24)</f>
        <v>0</v>
      </c>
      <c r="I25" s="93">
        <f>SUM('ORDENES '!U24)</f>
        <v>0</v>
      </c>
      <c r="J25" s="9">
        <f t="shared" si="4"/>
        <v>0</v>
      </c>
      <c r="K25" s="66">
        <f t="shared" si="0"/>
        <v>0</v>
      </c>
      <c r="L25" s="5">
        <f t="shared" si="5"/>
        <v>0</v>
      </c>
      <c r="M25" s="66">
        <f t="shared" si="6"/>
        <v>0</v>
      </c>
      <c r="N25" s="5">
        <f t="shared" si="7"/>
        <v>0</v>
      </c>
      <c r="O25" s="66">
        <f t="shared" si="8"/>
        <v>0</v>
      </c>
      <c r="P25" s="5">
        <f t="shared" si="9"/>
        <v>0</v>
      </c>
      <c r="Q25" s="66">
        <f t="shared" si="10"/>
        <v>0</v>
      </c>
      <c r="R25" s="5">
        <f t="shared" si="11"/>
        <v>0</v>
      </c>
      <c r="S25" s="66">
        <f t="shared" si="12"/>
        <v>0</v>
      </c>
      <c r="T25" s="5">
        <f t="shared" si="13"/>
        <v>0</v>
      </c>
      <c r="U25" s="66">
        <f t="shared" si="14"/>
        <v>0</v>
      </c>
      <c r="V25" s="5">
        <f t="shared" si="15"/>
        <v>0</v>
      </c>
      <c r="W25" s="66">
        <f t="shared" si="16"/>
        <v>0</v>
      </c>
      <c r="X25" s="5">
        <f t="shared" si="17"/>
        <v>0</v>
      </c>
      <c r="Y25" s="10">
        <f>SUM(PRECIOS!C25)</f>
        <v>28</v>
      </c>
      <c r="Z25" s="11">
        <f>SUM(PRECIOS!D25)</f>
        <v>40</v>
      </c>
      <c r="AA25" s="20">
        <f t="shared" si="1"/>
        <v>0</v>
      </c>
      <c r="AB25" s="12">
        <f t="shared" si="2"/>
        <v>0</v>
      </c>
      <c r="AC25" s="13">
        <f t="shared" si="3"/>
        <v>0</v>
      </c>
      <c r="AD25" s="3"/>
      <c r="AE25" s="17"/>
      <c r="AF25" s="3"/>
      <c r="AG25" s="3"/>
      <c r="AH25" s="3"/>
      <c r="AI25" s="3"/>
      <c r="AJ25" s="6"/>
      <c r="AK25" s="6"/>
      <c r="AL25" s="6"/>
    </row>
    <row r="26" spans="1:38">
      <c r="A26" s="1">
        <v>22</v>
      </c>
      <c r="B26" s="89" t="str">
        <f>(PRECIOS!B26)</f>
        <v>SALCHICHA DE CERDO VIENA</v>
      </c>
      <c r="C26" s="93">
        <f>SUM('ORDENES '!O25)</f>
        <v>0</v>
      </c>
      <c r="D26" s="94">
        <f>SUM('ORDENES '!P25)</f>
        <v>0</v>
      </c>
      <c r="E26" s="93">
        <f>SUM('ORDENES '!Q25)</f>
        <v>2.5</v>
      </c>
      <c r="F26" s="94">
        <f>SUM('ORDENES '!R25)</f>
        <v>0</v>
      </c>
      <c r="G26" s="93">
        <f>SUM('ORDENES '!S25)</f>
        <v>2.5</v>
      </c>
      <c r="H26" s="94">
        <f>SUM('ORDENES '!T25)</f>
        <v>0</v>
      </c>
      <c r="I26" s="93">
        <f>SUM('ORDENES '!U25)</f>
        <v>0</v>
      </c>
      <c r="J26" s="9">
        <f t="shared" si="4"/>
        <v>5</v>
      </c>
      <c r="K26" s="66">
        <f t="shared" si="0"/>
        <v>0</v>
      </c>
      <c r="L26" s="5">
        <f t="shared" si="5"/>
        <v>0</v>
      </c>
      <c r="M26" s="66">
        <f t="shared" si="6"/>
        <v>0</v>
      </c>
      <c r="N26" s="5">
        <f t="shared" si="7"/>
        <v>0</v>
      </c>
      <c r="O26" s="66">
        <f t="shared" si="8"/>
        <v>80</v>
      </c>
      <c r="P26" s="5">
        <f t="shared" si="9"/>
        <v>100</v>
      </c>
      <c r="Q26" s="66">
        <f t="shared" si="10"/>
        <v>0</v>
      </c>
      <c r="R26" s="5">
        <f t="shared" si="11"/>
        <v>0</v>
      </c>
      <c r="S26" s="66">
        <f t="shared" si="12"/>
        <v>80</v>
      </c>
      <c r="T26" s="5">
        <f t="shared" si="13"/>
        <v>100</v>
      </c>
      <c r="U26" s="66">
        <f t="shared" si="14"/>
        <v>0</v>
      </c>
      <c r="V26" s="5">
        <f t="shared" si="15"/>
        <v>0</v>
      </c>
      <c r="W26" s="66">
        <f t="shared" si="16"/>
        <v>0</v>
      </c>
      <c r="X26" s="5">
        <f t="shared" si="17"/>
        <v>0</v>
      </c>
      <c r="Y26" s="10">
        <f>SUM(PRECIOS!C26)</f>
        <v>32</v>
      </c>
      <c r="Z26" s="11">
        <f>SUM(PRECIOS!D26)</f>
        <v>40</v>
      </c>
      <c r="AA26" s="20">
        <f t="shared" si="1"/>
        <v>160</v>
      </c>
      <c r="AB26" s="12">
        <f t="shared" si="2"/>
        <v>200</v>
      </c>
      <c r="AC26" s="13">
        <f t="shared" si="3"/>
        <v>40</v>
      </c>
      <c r="AD26" s="3"/>
      <c r="AE26" s="17"/>
      <c r="AF26" s="3"/>
      <c r="AG26" s="3"/>
      <c r="AH26" s="3"/>
      <c r="AI26" s="3"/>
      <c r="AJ26" s="6"/>
      <c r="AK26" s="6"/>
      <c r="AL26" s="6"/>
    </row>
    <row r="27" spans="1:38">
      <c r="A27" s="1">
        <v>23</v>
      </c>
      <c r="B27" s="89" t="str">
        <f>(PRECIOS!B27)</f>
        <v>SALCHICHA DE PAVO VIENA</v>
      </c>
      <c r="C27" s="93">
        <f>SUM('ORDENES '!O26)</f>
        <v>2</v>
      </c>
      <c r="D27" s="94">
        <f>SUM('ORDENES '!P26)</f>
        <v>0</v>
      </c>
      <c r="E27" s="93">
        <f>SUM('ORDENES '!Q26)</f>
        <v>7</v>
      </c>
      <c r="F27" s="94">
        <f>SUM('ORDENES '!R26)</f>
        <v>0</v>
      </c>
      <c r="G27" s="93">
        <f>SUM('ORDENES '!S26)</f>
        <v>0</v>
      </c>
      <c r="H27" s="94">
        <f>SUM('ORDENES '!T26)</f>
        <v>0</v>
      </c>
      <c r="I27" s="93">
        <f>SUM('ORDENES '!U26)</f>
        <v>0</v>
      </c>
      <c r="J27" s="9">
        <f t="shared" si="4"/>
        <v>9</v>
      </c>
      <c r="K27" s="66">
        <f t="shared" ref="K27:K28" si="35">SUM(C27*Y27)</f>
        <v>76</v>
      </c>
      <c r="L27" s="5">
        <f t="shared" si="5"/>
        <v>100</v>
      </c>
      <c r="M27" s="66">
        <f t="shared" si="6"/>
        <v>0</v>
      </c>
      <c r="N27" s="5">
        <f t="shared" si="7"/>
        <v>0</v>
      </c>
      <c r="O27" s="66">
        <f t="shared" si="8"/>
        <v>266</v>
      </c>
      <c r="P27" s="5">
        <f t="shared" si="9"/>
        <v>350</v>
      </c>
      <c r="Q27" s="66">
        <f t="shared" si="10"/>
        <v>0</v>
      </c>
      <c r="R27" s="5">
        <f t="shared" si="11"/>
        <v>0</v>
      </c>
      <c r="S27" s="66">
        <f t="shared" si="12"/>
        <v>0</v>
      </c>
      <c r="T27" s="5">
        <f t="shared" si="13"/>
        <v>0</v>
      </c>
      <c r="U27" s="66">
        <f t="shared" si="14"/>
        <v>0</v>
      </c>
      <c r="V27" s="5">
        <f t="shared" si="15"/>
        <v>0</v>
      </c>
      <c r="W27" s="66">
        <f t="shared" si="16"/>
        <v>0</v>
      </c>
      <c r="X27" s="5">
        <f t="shared" si="17"/>
        <v>0</v>
      </c>
      <c r="Y27" s="10">
        <f>SUM(PRECIOS!C27)</f>
        <v>38</v>
      </c>
      <c r="Z27" s="11">
        <f>SUM(PRECIOS!D27)</f>
        <v>50</v>
      </c>
      <c r="AA27" s="20">
        <f t="shared" si="1"/>
        <v>342</v>
      </c>
      <c r="AB27" s="12">
        <f t="shared" si="2"/>
        <v>450</v>
      </c>
      <c r="AC27" s="13">
        <f t="shared" si="3"/>
        <v>108</v>
      </c>
      <c r="AD27" s="3"/>
      <c r="AE27" s="17"/>
      <c r="AF27" s="3"/>
      <c r="AG27" s="3"/>
      <c r="AH27" s="3"/>
      <c r="AI27" s="3"/>
      <c r="AJ27" s="6"/>
      <c r="AK27" s="6"/>
      <c r="AL27" s="6"/>
    </row>
    <row r="28" spans="1:38">
      <c r="A28" s="1">
        <v>24</v>
      </c>
      <c r="B28" s="89" t="str">
        <f>(PRECIOS!B28)</f>
        <v>TOCINO</v>
      </c>
      <c r="C28" s="93">
        <f>SUM('ORDENES '!O27)</f>
        <v>0.7</v>
      </c>
      <c r="D28" s="94">
        <f>SUM('ORDENES '!P27)</f>
        <v>0</v>
      </c>
      <c r="E28" s="93">
        <f>SUM('ORDENES '!Q27)</f>
        <v>0.8</v>
      </c>
      <c r="F28" s="94">
        <f>SUM('ORDENES '!R27)</f>
        <v>0</v>
      </c>
      <c r="G28" s="93">
        <f>SUM('ORDENES '!S27)</f>
        <v>0</v>
      </c>
      <c r="H28" s="94">
        <f>SUM('ORDENES '!T27)</f>
        <v>0.7</v>
      </c>
      <c r="I28" s="93">
        <f>SUM('ORDENES '!U27)</f>
        <v>0</v>
      </c>
      <c r="J28" s="9">
        <f t="shared" si="4"/>
        <v>2.2000000000000002</v>
      </c>
      <c r="K28" s="66">
        <f t="shared" si="35"/>
        <v>62.999999999999993</v>
      </c>
      <c r="L28" s="5">
        <f t="shared" si="5"/>
        <v>98</v>
      </c>
      <c r="M28" s="66">
        <f t="shared" si="6"/>
        <v>0</v>
      </c>
      <c r="N28" s="5">
        <f t="shared" si="7"/>
        <v>0</v>
      </c>
      <c r="O28" s="66">
        <f t="shared" si="8"/>
        <v>72</v>
      </c>
      <c r="P28" s="5">
        <f t="shared" si="9"/>
        <v>112</v>
      </c>
      <c r="Q28" s="66">
        <f t="shared" si="10"/>
        <v>0</v>
      </c>
      <c r="R28" s="5">
        <f t="shared" si="11"/>
        <v>0</v>
      </c>
      <c r="S28" s="66">
        <f t="shared" si="12"/>
        <v>0</v>
      </c>
      <c r="T28" s="5">
        <f t="shared" si="13"/>
        <v>0</v>
      </c>
      <c r="U28" s="66">
        <f t="shared" si="14"/>
        <v>62.999999999999993</v>
      </c>
      <c r="V28" s="5">
        <f t="shared" si="15"/>
        <v>98</v>
      </c>
      <c r="W28" s="66">
        <f t="shared" si="16"/>
        <v>0</v>
      </c>
      <c r="X28" s="5">
        <f t="shared" si="17"/>
        <v>0</v>
      </c>
      <c r="Y28" s="10">
        <f>SUM(PRECIOS!C28)</f>
        <v>90</v>
      </c>
      <c r="Z28" s="11">
        <f>SUM(PRECIOS!D28)</f>
        <v>140</v>
      </c>
      <c r="AA28" s="20">
        <f t="shared" si="1"/>
        <v>198.00000000000003</v>
      </c>
      <c r="AB28" s="12">
        <f t="shared" si="2"/>
        <v>308</v>
      </c>
      <c r="AC28" s="13">
        <f t="shared" si="3"/>
        <v>109.99999999999997</v>
      </c>
      <c r="AD28" s="3"/>
      <c r="AE28" s="17"/>
      <c r="AF28" s="3"/>
      <c r="AG28" s="3"/>
      <c r="AH28" s="3"/>
      <c r="AI28" s="3"/>
      <c r="AJ28" s="6"/>
      <c r="AK28" s="6"/>
      <c r="AL28" s="6"/>
    </row>
    <row r="29" spans="1:38">
      <c r="A29" s="73"/>
      <c r="B29" s="68"/>
      <c r="C29" s="3"/>
      <c r="D29" s="3"/>
      <c r="E29" s="3"/>
      <c r="F29" s="3"/>
      <c r="G29" s="3"/>
      <c r="H29" s="3"/>
      <c r="I29" s="3"/>
      <c r="J29" s="19">
        <f t="shared" ref="J29:Q29" si="36">SUM(J4:J28)</f>
        <v>517.70000000000005</v>
      </c>
      <c r="K29" s="20">
        <f t="shared" si="36"/>
        <v>4480.3</v>
      </c>
      <c r="L29" s="15">
        <f t="shared" si="36"/>
        <v>7744</v>
      </c>
      <c r="M29" s="20">
        <f t="shared" si="36"/>
        <v>4649.1000000000004</v>
      </c>
      <c r="N29" s="15">
        <f t="shared" si="36"/>
        <v>7600</v>
      </c>
      <c r="O29" s="20">
        <f t="shared" si="36"/>
        <v>4527.3999999999996</v>
      </c>
      <c r="P29" s="15">
        <f t="shared" si="36"/>
        <v>6606</v>
      </c>
      <c r="Q29" s="20">
        <f t="shared" si="36"/>
        <v>5757.65</v>
      </c>
      <c r="R29" s="15">
        <f t="shared" ref="R29:X29" si="37">SUM(R4:R28)</f>
        <v>8741</v>
      </c>
      <c r="S29" s="20">
        <f t="shared" si="37"/>
        <v>5389.3</v>
      </c>
      <c r="T29" s="15">
        <f t="shared" si="37"/>
        <v>8813</v>
      </c>
      <c r="U29" s="20">
        <f t="shared" si="37"/>
        <v>3889.2999999999997</v>
      </c>
      <c r="V29" s="15">
        <f t="shared" si="37"/>
        <v>6451</v>
      </c>
      <c r="W29" s="20">
        <f t="shared" si="37"/>
        <v>4313.2000000000007</v>
      </c>
      <c r="X29" s="15">
        <f t="shared" si="37"/>
        <v>8347</v>
      </c>
      <c r="Y29" s="18"/>
      <c r="Z29" s="18"/>
      <c r="AA29" s="14">
        <f>SUM(K29,M29,O29,Q29,S29,U29,W29)</f>
        <v>33006.25</v>
      </c>
      <c r="AB29" s="76">
        <f>SUM(L29,N29,P29,R29,T29,V29,X29)</f>
        <v>54302</v>
      </c>
      <c r="AC29" s="76">
        <f>SUM(AB29-AA29)</f>
        <v>21295.75</v>
      </c>
      <c r="AD29" s="3"/>
      <c r="AE29" s="17"/>
      <c r="AF29" s="3"/>
      <c r="AG29" s="3"/>
      <c r="AH29" s="3"/>
      <c r="AI29" s="3"/>
      <c r="AJ29" s="6"/>
      <c r="AK29" s="6"/>
      <c r="AL29" s="6"/>
    </row>
    <row r="30" spans="1:38">
      <c r="A30" s="73"/>
      <c r="B30" s="68"/>
      <c r="C30" s="3"/>
      <c r="D30" s="3"/>
      <c r="E30" s="3"/>
      <c r="F30" s="3"/>
      <c r="G30" s="3"/>
      <c r="H30" s="3"/>
      <c r="I30" s="3"/>
      <c r="J30" s="3"/>
      <c r="K30" s="74"/>
      <c r="L30" s="18"/>
      <c r="M30" s="74"/>
      <c r="N30" s="18"/>
      <c r="O30" s="74"/>
      <c r="P30" s="18"/>
      <c r="Q30" s="74"/>
      <c r="R30" s="18"/>
      <c r="S30" s="74"/>
      <c r="T30" s="18"/>
      <c r="U30" s="74"/>
      <c r="V30" s="18"/>
      <c r="W30" s="74"/>
      <c r="X30" s="18"/>
      <c r="Y30" s="18"/>
      <c r="Z30" s="18"/>
      <c r="AA30" s="18"/>
      <c r="AB30" s="18"/>
      <c r="AC30" s="18"/>
      <c r="AD30" s="3"/>
      <c r="AE30" s="17"/>
      <c r="AF30" s="3"/>
      <c r="AG30" s="3"/>
      <c r="AH30" s="3"/>
      <c r="AI30" s="3"/>
      <c r="AJ30" s="6"/>
      <c r="AK30" s="6"/>
      <c r="AL30" s="6"/>
    </row>
    <row r="31" spans="1:38">
      <c r="A31" s="73"/>
      <c r="B31" s="68"/>
      <c r="C31" s="3"/>
      <c r="D31" s="3"/>
      <c r="E31" s="3"/>
      <c r="F31" s="3"/>
      <c r="G31" s="3"/>
      <c r="H31" s="3"/>
      <c r="I31" s="3"/>
      <c r="J31" s="3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3"/>
      <c r="AE31" s="17"/>
      <c r="AF31" s="3"/>
      <c r="AG31" s="3"/>
      <c r="AH31" s="3"/>
      <c r="AI31" s="3"/>
      <c r="AJ31" s="6"/>
      <c r="AK31" s="6"/>
      <c r="AL31" s="6"/>
    </row>
    <row r="32" spans="1:38">
      <c r="A32" s="73"/>
      <c r="B32" s="68"/>
      <c r="C32" s="3"/>
      <c r="D32" s="3"/>
      <c r="E32" s="3"/>
      <c r="F32" s="3"/>
      <c r="G32" s="3"/>
      <c r="H32" s="3"/>
      <c r="I32" s="3"/>
      <c r="J32" s="3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3"/>
      <c r="AE32" s="17"/>
      <c r="AF32" s="3"/>
      <c r="AG32" s="3"/>
      <c r="AH32" s="3"/>
      <c r="AI32" s="3"/>
      <c r="AJ32" s="6"/>
      <c r="AK32" s="6"/>
      <c r="AL32" s="6"/>
    </row>
    <row r="33" spans="1:38">
      <c r="A33" s="73"/>
      <c r="B33" s="69"/>
      <c r="C33" s="3"/>
      <c r="D33" s="3"/>
      <c r="E33" s="3"/>
      <c r="F33" s="3"/>
      <c r="G33" s="3"/>
      <c r="H33" s="3"/>
      <c r="I33" s="3"/>
      <c r="J33" s="3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3"/>
      <c r="AE33" s="17"/>
      <c r="AF33" s="3"/>
      <c r="AG33" s="3"/>
      <c r="AH33" s="3"/>
      <c r="AI33" s="3"/>
      <c r="AJ33" s="6"/>
      <c r="AK33" s="6"/>
      <c r="AL33" s="6"/>
    </row>
    <row r="34" spans="1:38">
      <c r="A34" s="73"/>
      <c r="B34" s="69"/>
      <c r="C34" s="3"/>
      <c r="D34" s="3"/>
      <c r="E34" s="3"/>
      <c r="F34" s="3"/>
      <c r="G34" s="3"/>
      <c r="H34" s="3"/>
      <c r="I34" s="3"/>
      <c r="J34" s="3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3"/>
      <c r="AE34" s="17"/>
      <c r="AF34" s="3"/>
      <c r="AG34" s="3"/>
      <c r="AH34" s="3"/>
      <c r="AI34" s="3"/>
      <c r="AJ34" s="6"/>
      <c r="AK34" s="6"/>
      <c r="AL34" s="6"/>
    </row>
    <row r="35" spans="1:38">
      <c r="A35" s="73"/>
      <c r="B35" s="68"/>
      <c r="C35" s="3"/>
      <c r="D35" s="3"/>
      <c r="E35" s="3"/>
      <c r="F35" s="3"/>
      <c r="G35" s="3"/>
      <c r="H35" s="3"/>
      <c r="I35" s="3"/>
      <c r="J35" s="3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3"/>
      <c r="AE35" s="17"/>
      <c r="AF35" s="3"/>
      <c r="AG35" s="3"/>
      <c r="AH35" s="3"/>
      <c r="AI35" s="3"/>
      <c r="AJ35" s="6"/>
      <c r="AK35" s="6"/>
      <c r="AL35" s="6"/>
    </row>
    <row r="36" spans="1:38">
      <c r="A36" s="73"/>
      <c r="B36" s="68"/>
      <c r="C36" s="3"/>
      <c r="D36" s="3"/>
      <c r="E36" s="3"/>
      <c r="F36" s="3"/>
      <c r="G36" s="3"/>
      <c r="H36" s="3"/>
      <c r="I36" s="3"/>
      <c r="J36" s="3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3"/>
      <c r="AE36" s="17"/>
      <c r="AF36" s="3"/>
      <c r="AG36" s="3"/>
      <c r="AH36" s="3"/>
      <c r="AI36" s="3"/>
      <c r="AJ36" s="6"/>
      <c r="AK36" s="6"/>
      <c r="AL36" s="6"/>
    </row>
    <row r="37" spans="1:38">
      <c r="A37" s="73"/>
      <c r="B37" s="68"/>
      <c r="C37" s="3"/>
      <c r="D37" s="3"/>
      <c r="E37" s="3"/>
      <c r="F37" s="3"/>
      <c r="G37" s="3"/>
      <c r="H37" s="3"/>
      <c r="I37" s="3"/>
      <c r="J37" s="3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3"/>
      <c r="AE37" s="17"/>
      <c r="AF37" s="3"/>
      <c r="AG37" s="3"/>
      <c r="AH37" s="3"/>
      <c r="AI37" s="3"/>
      <c r="AJ37" s="6"/>
      <c r="AK37" s="6"/>
      <c r="AL37" s="6"/>
    </row>
    <row r="38" spans="1:38">
      <c r="A38" s="73"/>
      <c r="B38" s="68"/>
      <c r="C38" s="3"/>
      <c r="D38" s="3"/>
      <c r="E38" s="3"/>
      <c r="F38" s="3"/>
      <c r="G38" s="3"/>
      <c r="H38" s="3"/>
      <c r="I38" s="3"/>
      <c r="J38" s="3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3"/>
      <c r="AE38" s="17"/>
      <c r="AF38" s="3"/>
      <c r="AG38" s="3"/>
      <c r="AH38" s="3"/>
      <c r="AI38" s="3"/>
      <c r="AJ38" s="6"/>
      <c r="AK38" s="6"/>
      <c r="AL38" s="6"/>
    </row>
    <row r="39" spans="1:38">
      <c r="A39" s="73"/>
      <c r="B39" s="68"/>
      <c r="C39" s="3"/>
      <c r="D39" s="3"/>
      <c r="E39" s="3"/>
      <c r="F39" s="3"/>
      <c r="G39" s="3"/>
      <c r="H39" s="3"/>
      <c r="I39" s="3"/>
      <c r="J39" s="3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3"/>
      <c r="AE39" s="17"/>
      <c r="AF39" s="3"/>
      <c r="AG39" s="3"/>
      <c r="AH39" s="3"/>
      <c r="AI39" s="3"/>
      <c r="AJ39" s="6"/>
      <c r="AK39" s="6"/>
      <c r="AL39" s="6"/>
    </row>
    <row r="40" spans="1:38">
      <c r="A40" s="73"/>
      <c r="B40" s="68"/>
      <c r="C40" s="3"/>
      <c r="D40" s="3"/>
      <c r="E40" s="3"/>
      <c r="F40" s="3"/>
      <c r="G40" s="3"/>
      <c r="H40" s="3"/>
      <c r="I40" s="3"/>
      <c r="J40" s="3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3"/>
      <c r="AE40" s="17"/>
      <c r="AF40" s="3"/>
      <c r="AG40" s="3"/>
      <c r="AH40" s="3"/>
      <c r="AI40" s="3"/>
      <c r="AJ40" s="6"/>
      <c r="AK40" s="6"/>
      <c r="AL40" s="6"/>
    </row>
    <row r="41" spans="1:38">
      <c r="A41" s="73"/>
      <c r="B41" s="68"/>
      <c r="C41" s="3"/>
      <c r="D41" s="3"/>
      <c r="E41" s="3"/>
      <c r="F41" s="3"/>
      <c r="G41" s="3"/>
      <c r="H41" s="3"/>
      <c r="I41" s="3"/>
      <c r="J41" s="3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3"/>
      <c r="AE41" s="17"/>
      <c r="AF41" s="3"/>
      <c r="AG41" s="3"/>
      <c r="AH41" s="3"/>
      <c r="AI41" s="3"/>
      <c r="AJ41" s="6"/>
      <c r="AK41" s="6"/>
      <c r="AL41" s="6"/>
    </row>
    <row r="42" spans="1:38">
      <c r="A42" s="73"/>
      <c r="B42" s="68"/>
      <c r="C42" s="3"/>
      <c r="D42" s="3"/>
      <c r="E42" s="3"/>
      <c r="F42" s="3"/>
      <c r="G42" s="3"/>
      <c r="H42" s="3"/>
      <c r="I42" s="3"/>
      <c r="J42" s="3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3"/>
      <c r="AE42" s="17"/>
      <c r="AF42" s="3"/>
      <c r="AG42" s="3"/>
      <c r="AH42" s="3"/>
      <c r="AI42" s="3"/>
      <c r="AJ42" s="6"/>
      <c r="AK42" s="6"/>
      <c r="AL42" s="6"/>
    </row>
    <row r="43" spans="1:38">
      <c r="A43" s="73"/>
      <c r="B43" s="68"/>
      <c r="C43" s="3"/>
      <c r="D43" s="3"/>
      <c r="E43" s="3"/>
      <c r="F43" s="3"/>
      <c r="G43" s="3"/>
      <c r="H43" s="3"/>
      <c r="I43" s="3"/>
      <c r="J43" s="3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3"/>
      <c r="AE43" s="17"/>
      <c r="AF43" s="3"/>
      <c r="AG43" s="3"/>
      <c r="AH43" s="3"/>
      <c r="AI43" s="3"/>
      <c r="AJ43" s="6"/>
      <c r="AK43" s="6"/>
      <c r="AL43" s="6"/>
    </row>
    <row r="44" spans="1:38">
      <c r="A44" s="73"/>
      <c r="B44" s="68"/>
      <c r="C44" s="3"/>
      <c r="D44" s="3"/>
      <c r="E44" s="3"/>
      <c r="F44" s="3"/>
      <c r="G44" s="3"/>
      <c r="H44" s="3"/>
      <c r="I44" s="3"/>
      <c r="J44" s="3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3"/>
      <c r="AE44" s="17"/>
      <c r="AF44" s="3"/>
      <c r="AG44" s="3"/>
      <c r="AH44" s="3"/>
      <c r="AI44" s="3"/>
      <c r="AJ44" s="6"/>
      <c r="AK44" s="6"/>
      <c r="AL44" s="6"/>
    </row>
    <row r="45" spans="1:38">
      <c r="A45" s="73"/>
      <c r="B45" s="68"/>
      <c r="C45" s="3"/>
      <c r="D45" s="3"/>
      <c r="E45" s="3"/>
      <c r="F45" s="3"/>
      <c r="G45" s="3"/>
      <c r="H45" s="3"/>
      <c r="I45" s="3"/>
      <c r="J45" s="3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3"/>
      <c r="AE45" s="17"/>
      <c r="AF45" s="3"/>
      <c r="AG45" s="3"/>
      <c r="AH45" s="3"/>
      <c r="AI45" s="3"/>
      <c r="AJ45" s="6"/>
      <c r="AK45" s="6"/>
      <c r="AL45" s="6"/>
    </row>
    <row r="46" spans="1:38">
      <c r="A46" s="73"/>
      <c r="B46" s="68"/>
      <c r="C46" s="3"/>
      <c r="D46" s="3"/>
      <c r="E46" s="3"/>
      <c r="F46" s="3"/>
      <c r="G46" s="3"/>
      <c r="H46" s="3"/>
      <c r="I46" s="3"/>
      <c r="J46" s="3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3"/>
      <c r="AE46" s="17"/>
      <c r="AF46" s="3"/>
      <c r="AG46" s="3"/>
      <c r="AH46" s="3"/>
      <c r="AI46" s="3"/>
      <c r="AJ46" s="6"/>
      <c r="AK46" s="6"/>
      <c r="AL46" s="6"/>
    </row>
    <row r="47" spans="1:38">
      <c r="A47" s="73"/>
      <c r="B47" s="69"/>
      <c r="C47" s="3"/>
      <c r="D47" s="3"/>
      <c r="E47" s="3"/>
      <c r="F47" s="3"/>
      <c r="G47" s="3"/>
      <c r="H47" s="3"/>
      <c r="I47" s="3"/>
      <c r="J47" s="3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3"/>
      <c r="AE47" s="3"/>
      <c r="AF47" s="3"/>
      <c r="AG47" s="3"/>
      <c r="AH47" s="3"/>
      <c r="AI47" s="3"/>
      <c r="AJ47" s="6"/>
      <c r="AK47" s="6"/>
      <c r="AL47" s="6"/>
    </row>
    <row r="48" spans="1:38">
      <c r="A48" s="73"/>
      <c r="B48" s="69"/>
      <c r="C48" s="3"/>
      <c r="D48" s="3"/>
      <c r="E48" s="3"/>
      <c r="F48" s="3"/>
      <c r="G48" s="3"/>
      <c r="H48" s="3"/>
      <c r="I48" s="3"/>
      <c r="J48" s="3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3"/>
      <c r="AE48" s="16"/>
      <c r="AF48" s="3"/>
      <c r="AG48" s="3"/>
      <c r="AH48" s="3"/>
      <c r="AI48" s="3"/>
      <c r="AJ48" s="6"/>
      <c r="AK48" s="6"/>
      <c r="AL48" s="6"/>
    </row>
    <row r="49" spans="1:38">
      <c r="A49" s="73"/>
      <c r="B49" s="68"/>
      <c r="C49" s="3"/>
      <c r="D49" s="3"/>
      <c r="E49" s="3"/>
      <c r="F49" s="3"/>
      <c r="G49" s="3"/>
      <c r="H49" s="3"/>
      <c r="I49" s="3"/>
      <c r="J49" s="3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3"/>
      <c r="AE49" s="16"/>
      <c r="AF49" s="3"/>
      <c r="AG49" s="3"/>
      <c r="AH49" s="3"/>
      <c r="AI49" s="3"/>
      <c r="AJ49" s="6"/>
      <c r="AK49" s="6"/>
      <c r="AL49" s="6"/>
    </row>
    <row r="50" spans="1:38">
      <c r="A50" s="73"/>
      <c r="B50" s="68"/>
      <c r="C50" s="3"/>
      <c r="D50" s="3"/>
      <c r="E50" s="3"/>
      <c r="F50" s="3"/>
      <c r="G50" s="3"/>
      <c r="H50" s="3"/>
      <c r="I50" s="3"/>
      <c r="J50" s="3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3"/>
      <c r="AE50" s="16"/>
      <c r="AF50" s="3"/>
      <c r="AG50" s="3"/>
      <c r="AH50" s="3"/>
      <c r="AI50" s="3"/>
      <c r="AJ50" s="6"/>
      <c r="AK50" s="6"/>
      <c r="AL50" s="6"/>
    </row>
    <row r="51" spans="1:38">
      <c r="A51" s="73"/>
      <c r="B51" s="68"/>
      <c r="C51" s="3"/>
      <c r="D51" s="3"/>
      <c r="E51" s="3"/>
      <c r="F51" s="3"/>
      <c r="G51" s="3"/>
      <c r="H51" s="3"/>
      <c r="I51" s="3"/>
      <c r="J51" s="3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3"/>
      <c r="AE51" s="16"/>
      <c r="AF51" s="3"/>
      <c r="AG51" s="3"/>
      <c r="AH51" s="3"/>
      <c r="AI51" s="3"/>
      <c r="AJ51" s="6"/>
      <c r="AK51" s="6"/>
      <c r="AL51" s="6"/>
    </row>
    <row r="52" spans="1:38">
      <c r="A52" s="73"/>
      <c r="B52" s="68"/>
      <c r="C52" s="3"/>
      <c r="D52" s="3"/>
      <c r="E52" s="3"/>
      <c r="F52" s="3"/>
      <c r="G52" s="3"/>
      <c r="H52" s="3"/>
      <c r="I52" s="3"/>
      <c r="J52" s="3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3"/>
      <c r="AE52" s="3"/>
      <c r="AF52" s="3"/>
      <c r="AG52" s="3"/>
      <c r="AH52" s="3"/>
      <c r="AI52" s="3"/>
      <c r="AJ52" s="6"/>
      <c r="AK52" s="6"/>
      <c r="AL52" s="6"/>
    </row>
    <row r="53" spans="1:38">
      <c r="A53" s="73"/>
      <c r="B53" s="69"/>
      <c r="C53" s="3"/>
      <c r="D53" s="3"/>
      <c r="E53" s="3"/>
      <c r="F53" s="3"/>
      <c r="G53" s="3"/>
      <c r="H53" s="3"/>
      <c r="I53" s="3"/>
      <c r="J53" s="3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3"/>
      <c r="AE53" s="3"/>
      <c r="AF53" s="3"/>
      <c r="AG53" s="3"/>
      <c r="AH53" s="3"/>
      <c r="AI53" s="3"/>
      <c r="AJ53" s="6"/>
      <c r="AK53" s="6"/>
      <c r="AL53" s="6"/>
    </row>
    <row r="54" spans="1:38">
      <c r="A54" s="73"/>
      <c r="B54" s="68"/>
      <c r="C54" s="3"/>
      <c r="D54" s="3"/>
      <c r="E54" s="3"/>
      <c r="F54" s="3"/>
      <c r="G54" s="3"/>
      <c r="H54" s="3"/>
      <c r="I54" s="3"/>
      <c r="J54" s="3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3"/>
      <c r="AE54" s="18"/>
      <c r="AF54" s="3"/>
      <c r="AG54" s="3"/>
      <c r="AH54" s="3"/>
      <c r="AI54" s="3"/>
      <c r="AJ54" s="6"/>
      <c r="AK54" s="6"/>
      <c r="AL54" s="6"/>
    </row>
    <row r="55" spans="1:38">
      <c r="A55" s="73"/>
      <c r="B55" s="68"/>
      <c r="C55" s="3"/>
      <c r="D55" s="3"/>
      <c r="E55" s="3"/>
      <c r="F55" s="3"/>
      <c r="G55" s="3"/>
      <c r="H55" s="3"/>
      <c r="I55" s="3"/>
      <c r="J55" s="3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3"/>
      <c r="AE55" s="18"/>
      <c r="AF55" s="3"/>
      <c r="AG55" s="3"/>
      <c r="AH55" s="3"/>
      <c r="AI55" s="3"/>
      <c r="AJ55" s="6"/>
      <c r="AK55" s="6"/>
      <c r="AL55" s="6"/>
    </row>
    <row r="56" spans="1:38">
      <c r="A56" s="73"/>
      <c r="B56" s="68"/>
      <c r="C56" s="3"/>
      <c r="D56" s="3"/>
      <c r="E56" s="3"/>
      <c r="F56" s="3"/>
      <c r="G56" s="3"/>
      <c r="H56" s="3"/>
      <c r="I56" s="3"/>
      <c r="J56" s="3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3"/>
      <c r="AE56" s="18"/>
      <c r="AF56" s="3"/>
      <c r="AG56" s="3"/>
      <c r="AH56" s="3"/>
      <c r="AI56" s="3"/>
      <c r="AJ56" s="6"/>
      <c r="AK56" s="6"/>
      <c r="AL56" s="6"/>
    </row>
    <row r="57" spans="1:38">
      <c r="A57" s="73"/>
      <c r="B57" s="68"/>
      <c r="C57" s="3"/>
      <c r="D57" s="3"/>
      <c r="E57" s="3"/>
      <c r="F57" s="3"/>
      <c r="G57" s="3"/>
      <c r="H57" s="3"/>
      <c r="I57" s="3"/>
      <c r="J57" s="3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3"/>
      <c r="AE57" s="18"/>
      <c r="AF57" s="3"/>
      <c r="AG57" s="3"/>
      <c r="AH57" s="3"/>
      <c r="AI57" s="3"/>
      <c r="AJ57" s="6"/>
      <c r="AK57" s="6"/>
      <c r="AL57" s="6"/>
    </row>
    <row r="58" spans="1:38">
      <c r="A58" s="73"/>
      <c r="B58" s="68"/>
      <c r="C58" s="3"/>
      <c r="D58" s="3"/>
      <c r="E58" s="3"/>
      <c r="F58" s="3"/>
      <c r="G58" s="3"/>
      <c r="H58" s="3"/>
      <c r="I58" s="3"/>
      <c r="J58" s="3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3"/>
      <c r="AE58" s="18"/>
      <c r="AF58" s="3"/>
      <c r="AG58" s="3"/>
      <c r="AH58" s="3"/>
      <c r="AI58" s="3"/>
      <c r="AJ58" s="6"/>
      <c r="AK58" s="6"/>
      <c r="AL58" s="6"/>
    </row>
    <row r="59" spans="1:38">
      <c r="A59" s="73"/>
      <c r="B59" s="68"/>
      <c r="C59" s="3"/>
      <c r="D59" s="3"/>
      <c r="E59" s="3"/>
      <c r="F59" s="3"/>
      <c r="G59" s="3"/>
      <c r="H59" s="3"/>
      <c r="I59" s="3"/>
      <c r="J59" s="3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3"/>
      <c r="AE59" s="18"/>
      <c r="AF59" s="3"/>
      <c r="AG59" s="3"/>
      <c r="AH59" s="3"/>
      <c r="AI59" s="3"/>
      <c r="AJ59" s="6"/>
      <c r="AK59" s="6"/>
      <c r="AL59" s="6"/>
    </row>
    <row r="60" spans="1:38">
      <c r="A60" s="73"/>
      <c r="B60" s="68"/>
      <c r="C60" s="3"/>
      <c r="D60" s="3"/>
      <c r="E60" s="3"/>
      <c r="F60" s="3"/>
      <c r="G60" s="3"/>
      <c r="H60" s="3"/>
      <c r="I60" s="3"/>
      <c r="J60" s="3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3"/>
      <c r="AE60" s="18"/>
      <c r="AF60" s="3"/>
      <c r="AG60" s="3"/>
      <c r="AH60" s="3"/>
      <c r="AI60" s="3"/>
      <c r="AJ60" s="6"/>
      <c r="AK60" s="6"/>
      <c r="AL60" s="6"/>
    </row>
    <row r="61" spans="1:38">
      <c r="A61" s="73"/>
      <c r="B61" s="68"/>
      <c r="C61" s="3"/>
      <c r="D61" s="3"/>
      <c r="E61" s="3"/>
      <c r="F61" s="3"/>
      <c r="G61" s="3"/>
      <c r="H61" s="3"/>
      <c r="I61" s="3"/>
      <c r="J61" s="3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3"/>
      <c r="AE61" s="18"/>
      <c r="AF61" s="3"/>
      <c r="AG61" s="3"/>
      <c r="AH61" s="3"/>
      <c r="AI61" s="3"/>
      <c r="AJ61" s="6"/>
      <c r="AK61" s="6"/>
      <c r="AL61" s="6"/>
    </row>
    <row r="62" spans="1:38">
      <c r="A62" s="73"/>
      <c r="B62" s="68"/>
      <c r="C62" s="3"/>
      <c r="D62" s="3"/>
      <c r="E62" s="3"/>
      <c r="F62" s="3"/>
      <c r="G62" s="3"/>
      <c r="H62" s="3"/>
      <c r="I62" s="3"/>
      <c r="J62" s="3"/>
      <c r="K62" s="18"/>
      <c r="L62" s="18"/>
      <c r="M62" s="18"/>
      <c r="N62" s="75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3"/>
      <c r="AE62" s="18"/>
      <c r="AF62" s="3"/>
      <c r="AG62" s="3"/>
      <c r="AH62" s="3"/>
      <c r="AI62" s="3"/>
      <c r="AJ62" s="6"/>
      <c r="AK62" s="6"/>
      <c r="AL62" s="6"/>
    </row>
    <row r="63" spans="1:38">
      <c r="A63" s="73"/>
      <c r="B63" s="68"/>
      <c r="C63" s="3"/>
      <c r="D63" s="3"/>
      <c r="E63" s="3"/>
      <c r="F63" s="3"/>
      <c r="G63" s="3"/>
      <c r="H63" s="3"/>
      <c r="I63" s="3"/>
      <c r="J63" s="3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3"/>
      <c r="AE63" s="18"/>
      <c r="AF63" s="3"/>
      <c r="AG63" s="3"/>
      <c r="AH63" s="3"/>
      <c r="AI63" s="3"/>
      <c r="AJ63" s="6"/>
      <c r="AK63" s="6"/>
      <c r="AL63" s="6"/>
    </row>
    <row r="64" spans="1:38">
      <c r="A64" s="73"/>
      <c r="B64" s="68"/>
      <c r="C64" s="3"/>
      <c r="D64" s="3"/>
      <c r="E64" s="3"/>
      <c r="F64" s="3"/>
      <c r="G64" s="3"/>
      <c r="H64" s="3"/>
      <c r="I64" s="3"/>
      <c r="J64" s="3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3"/>
      <c r="AE64" s="18"/>
      <c r="AF64" s="3"/>
      <c r="AG64" s="3"/>
      <c r="AH64" s="3"/>
      <c r="AI64" s="3"/>
      <c r="AJ64" s="6"/>
      <c r="AK64" s="6"/>
      <c r="AL64" s="6"/>
    </row>
    <row r="65" spans="1:38">
      <c r="A65" s="73"/>
      <c r="B65" s="68"/>
      <c r="C65" s="3"/>
      <c r="D65" s="3"/>
      <c r="E65" s="3"/>
      <c r="F65" s="3"/>
      <c r="G65" s="3"/>
      <c r="H65" s="3"/>
      <c r="I65" s="3"/>
      <c r="J65" s="3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3"/>
      <c r="AE65" s="18"/>
      <c r="AF65" s="3"/>
      <c r="AG65" s="3"/>
      <c r="AH65" s="3"/>
      <c r="AI65" s="3"/>
      <c r="AJ65" s="6"/>
      <c r="AK65" s="6"/>
      <c r="AL65" s="6"/>
    </row>
    <row r="66" spans="1:38">
      <c r="A66" s="73"/>
      <c r="B66" s="68"/>
      <c r="C66" s="3"/>
      <c r="D66" s="3"/>
      <c r="E66" s="3"/>
      <c r="F66" s="3"/>
      <c r="G66" s="3"/>
      <c r="H66" s="3"/>
      <c r="I66" s="3"/>
      <c r="J66" s="3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3"/>
      <c r="AE66" s="18"/>
      <c r="AF66" s="3"/>
      <c r="AG66" s="3"/>
      <c r="AH66" s="3"/>
      <c r="AI66" s="3"/>
      <c r="AJ66" s="6"/>
      <c r="AK66" s="6"/>
      <c r="AL66" s="6"/>
    </row>
    <row r="67" spans="1:38">
      <c r="A67" s="73"/>
      <c r="B67" s="68"/>
      <c r="C67" s="3"/>
      <c r="D67" s="3"/>
      <c r="E67" s="3"/>
      <c r="F67" s="3"/>
      <c r="G67" s="3"/>
      <c r="H67" s="3"/>
      <c r="I67" s="3"/>
      <c r="J67" s="3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3"/>
      <c r="AE67" s="18"/>
      <c r="AF67" s="3"/>
      <c r="AG67" s="3"/>
      <c r="AH67" s="3"/>
      <c r="AI67" s="3"/>
      <c r="AJ67" s="6"/>
      <c r="AK67" s="6"/>
      <c r="AL67" s="6"/>
    </row>
    <row r="68" spans="1:38">
      <c r="A68" s="73"/>
      <c r="B68" s="68"/>
      <c r="C68" s="3"/>
      <c r="D68" s="3"/>
      <c r="E68" s="3"/>
      <c r="F68" s="3"/>
      <c r="G68" s="3"/>
      <c r="H68" s="3"/>
      <c r="I68" s="3"/>
      <c r="J68" s="3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3"/>
      <c r="AE68" s="18"/>
      <c r="AF68" s="3"/>
      <c r="AG68" s="3"/>
      <c r="AH68" s="3"/>
      <c r="AI68" s="3"/>
      <c r="AJ68" s="6"/>
      <c r="AK68" s="6"/>
      <c r="AL68" s="6"/>
    </row>
    <row r="69" spans="1:38">
      <c r="A69" s="73"/>
      <c r="B69" s="68"/>
      <c r="C69" s="3"/>
      <c r="D69" s="3"/>
      <c r="E69" s="3"/>
      <c r="F69" s="3"/>
      <c r="G69" s="3"/>
      <c r="H69" s="3"/>
      <c r="I69" s="3"/>
      <c r="J69" s="3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3"/>
      <c r="AE69" s="18"/>
      <c r="AF69" s="3"/>
      <c r="AG69" s="3"/>
      <c r="AH69" s="3"/>
      <c r="AI69" s="3"/>
      <c r="AJ69" s="6"/>
      <c r="AK69" s="6"/>
      <c r="AL69" s="6"/>
    </row>
    <row r="70" spans="1:38">
      <c r="A70" s="73"/>
      <c r="B70" s="68"/>
      <c r="C70" s="3"/>
      <c r="D70" s="3"/>
      <c r="E70" s="3"/>
      <c r="F70" s="3"/>
      <c r="G70" s="3"/>
      <c r="H70" s="3"/>
      <c r="I70" s="3"/>
      <c r="J70" s="3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3"/>
      <c r="AE70" s="18"/>
      <c r="AF70" s="3"/>
      <c r="AG70" s="3"/>
      <c r="AH70" s="3"/>
      <c r="AI70" s="3"/>
      <c r="AJ70" s="6"/>
      <c r="AK70" s="6"/>
      <c r="AL70" s="6"/>
    </row>
    <row r="71" spans="1:38">
      <c r="A71" s="73"/>
      <c r="B71" s="68"/>
      <c r="C71" s="3"/>
      <c r="D71" s="3"/>
      <c r="E71" s="3"/>
      <c r="F71" s="3"/>
      <c r="G71" s="3"/>
      <c r="H71" s="3"/>
      <c r="I71" s="3"/>
      <c r="J71" s="3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3"/>
      <c r="AE71" s="18"/>
      <c r="AF71" s="3"/>
      <c r="AG71" s="3"/>
      <c r="AH71" s="3"/>
      <c r="AI71" s="3"/>
      <c r="AJ71" s="6"/>
      <c r="AK71" s="6"/>
      <c r="AL71" s="6"/>
    </row>
    <row r="72" spans="1:38">
      <c r="A72" s="73"/>
      <c r="B72" s="68"/>
      <c r="C72" s="3"/>
      <c r="D72" s="3"/>
      <c r="E72" s="3"/>
      <c r="F72" s="3"/>
      <c r="G72" s="3"/>
      <c r="H72" s="3"/>
      <c r="I72" s="3"/>
      <c r="J72" s="3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3"/>
      <c r="AE72" s="18"/>
      <c r="AF72" s="3"/>
      <c r="AG72" s="3"/>
      <c r="AH72" s="3"/>
      <c r="AI72" s="3"/>
      <c r="AJ72" s="6"/>
      <c r="AK72" s="6"/>
      <c r="AL72" s="6"/>
    </row>
    <row r="73" spans="1:38">
      <c r="A73" s="73"/>
      <c r="B73" s="3"/>
      <c r="C73" s="3"/>
      <c r="D73" s="3"/>
      <c r="E73" s="3"/>
      <c r="F73" s="3"/>
      <c r="G73" s="3"/>
      <c r="H73" s="3"/>
      <c r="I73" s="3"/>
      <c r="J73" s="3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3"/>
      <c r="AE73" s="3"/>
      <c r="AF73" s="3"/>
      <c r="AG73" s="3"/>
      <c r="AH73" s="3"/>
      <c r="AI73" s="3"/>
      <c r="AJ73" s="6"/>
      <c r="AK73" s="6"/>
      <c r="AL73" s="6"/>
    </row>
    <row r="74" spans="1:38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</row>
    <row r="75" spans="1:38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</row>
  </sheetData>
  <mergeCells count="2">
    <mergeCell ref="AE3:AG3"/>
    <mergeCell ref="K2:W2"/>
  </mergeCells>
  <pageMargins left="0.25" right="0.25" top="0.75" bottom="0.75" header="0.3" footer="0.3"/>
  <pageSetup scale="35" orientation="portrait" horizontalDpi="360" verticalDpi="36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3">
    <pageSetUpPr fitToPage="1"/>
  </sheetPr>
  <dimension ref="A1:AI74"/>
  <sheetViews>
    <sheetView zoomScaleNormal="100" workbookViewId="0">
      <selection activeCell="H28" sqref="H28"/>
    </sheetView>
  </sheetViews>
  <sheetFormatPr baseColWidth="10" defaultRowHeight="15"/>
  <cols>
    <col min="1" max="1" width="2.85546875" customWidth="1"/>
    <col min="2" max="2" width="21.85546875" customWidth="1"/>
    <col min="3" max="10" width="4.7109375" customWidth="1"/>
    <col min="11" max="24" width="7.7109375" customWidth="1"/>
  </cols>
  <sheetData>
    <row r="1" spans="1:35" ht="20.100000000000001" customHeight="1">
      <c r="A1" s="58"/>
      <c r="B1" s="58"/>
      <c r="C1" s="59" t="str">
        <f>('ORDENES '!L1)</f>
        <v>11-17 enero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</row>
    <row r="2" spans="1:35" ht="24.75">
      <c r="A2" s="88"/>
      <c r="B2" s="88"/>
      <c r="C2" s="88"/>
      <c r="D2" s="88"/>
      <c r="E2" s="88"/>
      <c r="F2" s="88"/>
      <c r="G2" s="88"/>
      <c r="H2" s="88"/>
      <c r="I2" s="88"/>
      <c r="J2" s="88"/>
      <c r="K2" s="161" t="s">
        <v>30</v>
      </c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88"/>
      <c r="Y2" s="88"/>
      <c r="Z2" s="88"/>
      <c r="AA2" s="88"/>
      <c r="AB2" s="88"/>
      <c r="AC2" s="88"/>
      <c r="AE2" s="21"/>
      <c r="AF2" s="21"/>
      <c r="AG2" s="21"/>
      <c r="AH2" s="27"/>
    </row>
    <row r="3" spans="1:35">
      <c r="A3" s="7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65" t="s">
        <v>10</v>
      </c>
      <c r="L3" s="4" t="s">
        <v>11</v>
      </c>
      <c r="M3" s="65" t="s">
        <v>12</v>
      </c>
      <c r="N3" s="4" t="s">
        <v>13</v>
      </c>
      <c r="O3" s="65" t="s">
        <v>14</v>
      </c>
      <c r="P3" s="4" t="s">
        <v>15</v>
      </c>
      <c r="Q3" s="65" t="s">
        <v>16</v>
      </c>
      <c r="R3" s="4" t="s">
        <v>17</v>
      </c>
      <c r="S3" s="65" t="s">
        <v>18</v>
      </c>
      <c r="T3" s="4" t="s">
        <v>19</v>
      </c>
      <c r="U3" s="65" t="s">
        <v>20</v>
      </c>
      <c r="V3" s="4" t="s">
        <v>21</v>
      </c>
      <c r="W3" s="65" t="s">
        <v>22</v>
      </c>
      <c r="X3" s="4" t="s">
        <v>23</v>
      </c>
      <c r="Y3" s="8" t="s">
        <v>24</v>
      </c>
      <c r="Z3" s="8" t="s">
        <v>25</v>
      </c>
      <c r="AA3" s="8" t="s">
        <v>26</v>
      </c>
      <c r="AB3" s="8" t="s">
        <v>27</v>
      </c>
      <c r="AC3" s="4" t="s">
        <v>28</v>
      </c>
      <c r="AD3" s="3"/>
      <c r="AE3" s="159"/>
      <c r="AF3" s="159"/>
      <c r="AG3" s="159"/>
      <c r="AH3" s="28"/>
      <c r="AI3" s="2"/>
    </row>
    <row r="4" spans="1:35">
      <c r="A4" s="1">
        <v>1</v>
      </c>
      <c r="B4" s="89" t="str">
        <f>(PRECIOS!B4)</f>
        <v>CHULETA DE CERDO</v>
      </c>
      <c r="C4" s="93">
        <f>SUM('ORDENES '!D31)</f>
        <v>0</v>
      </c>
      <c r="D4" s="94">
        <f>SUM('ORDENES '!E31)</f>
        <v>0</v>
      </c>
      <c r="E4" s="93">
        <f>SUM('ORDENES '!F31)</f>
        <v>0</v>
      </c>
      <c r="F4" s="94">
        <f>SUM('ORDENES '!G31)</f>
        <v>0</v>
      </c>
      <c r="G4" s="93">
        <f>SUM('ORDENES '!H31)</f>
        <v>0</v>
      </c>
      <c r="H4" s="94">
        <f>SUM('ORDENES '!I31)</f>
        <v>0</v>
      </c>
      <c r="I4" s="93">
        <f>SUM('ORDENES '!J31)</f>
        <v>0</v>
      </c>
      <c r="J4" s="9">
        <f>SUM(C4:I4)</f>
        <v>0</v>
      </c>
      <c r="K4" s="66">
        <f t="shared" ref="K4:K26" si="0">SUM(C4*Y4)</f>
        <v>0</v>
      </c>
      <c r="L4" s="5">
        <f>SUM(C4*Z4)</f>
        <v>0</v>
      </c>
      <c r="M4" s="66">
        <f>SUM(D4*Y4)</f>
        <v>0</v>
      </c>
      <c r="N4" s="5">
        <f>SUM(D4*Z4)</f>
        <v>0</v>
      </c>
      <c r="O4" s="66">
        <f>SUM(E4*Y4)</f>
        <v>0</v>
      </c>
      <c r="P4" s="5">
        <f>SUM(E4*Z4)</f>
        <v>0</v>
      </c>
      <c r="Q4" s="66">
        <f>SUM(F4*Y4)</f>
        <v>0</v>
      </c>
      <c r="R4" s="5">
        <f>SUM(F4*Z4)</f>
        <v>0</v>
      </c>
      <c r="S4" s="66">
        <f>SUM(G4*Y4)</f>
        <v>0</v>
      </c>
      <c r="T4" s="5">
        <f>SUM(G4*Z4)</f>
        <v>0</v>
      </c>
      <c r="U4" s="66">
        <f>SUM(H4*Y4)</f>
        <v>0</v>
      </c>
      <c r="V4" s="5">
        <f>SUM(H4*Z4)</f>
        <v>0</v>
      </c>
      <c r="W4" s="66">
        <f>SUM(I4*Y4)</f>
        <v>0</v>
      </c>
      <c r="X4" s="5">
        <f>SUM(I4*Z4)</f>
        <v>0</v>
      </c>
      <c r="Y4" s="10">
        <f>SUM(PRECIOS!C4)</f>
        <v>89</v>
      </c>
      <c r="Z4" s="11">
        <f>SUM(PRECIOS!D4)</f>
        <v>89</v>
      </c>
      <c r="AA4" s="20">
        <f t="shared" ref="AA4:AA28" si="1">Y4*J4</f>
        <v>0</v>
      </c>
      <c r="AB4" s="12">
        <f t="shared" ref="AB4:AB28" si="2">Z4*J4</f>
        <v>0</v>
      </c>
      <c r="AC4" s="13">
        <f t="shared" ref="AC4:AC28" si="3">AB4-AA4</f>
        <v>0</v>
      </c>
      <c r="AD4" s="3"/>
      <c r="AE4" s="22"/>
      <c r="AF4" s="22"/>
      <c r="AG4" s="23"/>
      <c r="AH4" s="28"/>
      <c r="AI4" s="2"/>
    </row>
    <row r="5" spans="1:35">
      <c r="A5" s="1">
        <v>2</v>
      </c>
      <c r="B5" s="89" t="str">
        <f>(PRECIOS!B5)</f>
        <v>LOMO DE CERDO</v>
      </c>
      <c r="C5" s="93">
        <f>SUM('ORDENES '!D32)</f>
        <v>0</v>
      </c>
      <c r="D5" s="94">
        <f>SUM('ORDENES '!E32)</f>
        <v>0</v>
      </c>
      <c r="E5" s="93">
        <f>SUM('ORDENES '!F32)</f>
        <v>0</v>
      </c>
      <c r="F5" s="94">
        <f>SUM('ORDENES '!G32)</f>
        <v>7.2</v>
      </c>
      <c r="G5" s="93">
        <f>SUM('ORDENES '!H32)</f>
        <v>7.8</v>
      </c>
      <c r="H5" s="94">
        <f>SUM('ORDENES '!I32)</f>
        <v>0</v>
      </c>
      <c r="I5" s="93">
        <f>SUM('ORDENES '!J32)</f>
        <v>9</v>
      </c>
      <c r="J5" s="9">
        <f t="shared" ref="J5:J28" si="4">SUM(C5:I5)</f>
        <v>24</v>
      </c>
      <c r="K5" s="66">
        <f t="shared" si="0"/>
        <v>0</v>
      </c>
      <c r="L5" s="5">
        <f t="shared" ref="L5:L28" si="5">SUM(C5*Z5)</f>
        <v>0</v>
      </c>
      <c r="M5" s="66">
        <f t="shared" ref="M5:M28" si="6">SUM(D5*Y5)</f>
        <v>0</v>
      </c>
      <c r="N5" s="5">
        <f t="shared" ref="N5:N28" si="7">SUM(D5*Z5)</f>
        <v>0</v>
      </c>
      <c r="O5" s="66">
        <f t="shared" ref="O5:O28" si="8">SUM(E5*Y5)</f>
        <v>0</v>
      </c>
      <c r="P5" s="5">
        <f t="shared" ref="P5:P28" si="9">SUM(E5*Z5)</f>
        <v>0</v>
      </c>
      <c r="Q5" s="66">
        <f t="shared" ref="Q5:Q28" si="10">SUM(F5*Y5)</f>
        <v>360</v>
      </c>
      <c r="R5" s="5">
        <f t="shared" ref="R5:R28" si="11">SUM(F5*Z5)</f>
        <v>684</v>
      </c>
      <c r="S5" s="66">
        <f t="shared" ref="S5:S28" si="12">SUM(G5*Y5)</f>
        <v>390</v>
      </c>
      <c r="T5" s="5">
        <f t="shared" ref="T5:T28" si="13">SUM(G5*Z5)</f>
        <v>741</v>
      </c>
      <c r="U5" s="66">
        <f t="shared" ref="U5:U28" si="14">SUM(H5*Y5)</f>
        <v>0</v>
      </c>
      <c r="V5" s="5">
        <f t="shared" ref="V5:V28" si="15">SUM(H5*Z5)</f>
        <v>0</v>
      </c>
      <c r="W5" s="66">
        <f t="shared" ref="W5:W28" si="16">SUM(I5*Y5)</f>
        <v>450</v>
      </c>
      <c r="X5" s="5">
        <f t="shared" ref="X5:X28" si="17">SUM(I5*Z5)</f>
        <v>855</v>
      </c>
      <c r="Y5" s="10">
        <f>SUM(PRECIOS!C5)</f>
        <v>50</v>
      </c>
      <c r="Z5" s="11">
        <f>SUM(PRECIOS!D5)</f>
        <v>95</v>
      </c>
      <c r="AA5" s="20">
        <f t="shared" si="1"/>
        <v>1200</v>
      </c>
      <c r="AB5" s="12">
        <f t="shared" si="2"/>
        <v>2280</v>
      </c>
      <c r="AC5" s="13">
        <f t="shared" si="3"/>
        <v>1080</v>
      </c>
      <c r="AD5" s="3"/>
      <c r="AE5" s="24"/>
      <c r="AF5" s="25"/>
      <c r="AG5" s="25"/>
      <c r="AH5" s="28"/>
      <c r="AI5" s="2"/>
    </row>
    <row r="6" spans="1:35">
      <c r="A6" s="1">
        <v>3</v>
      </c>
      <c r="B6" s="89" t="str">
        <f>(PRECIOS!B6)</f>
        <v>PIERNA DE CERDO EN TROZO</v>
      </c>
      <c r="C6" s="93">
        <f>SUM('ORDENES '!D33)</f>
        <v>0</v>
      </c>
      <c r="D6" s="94">
        <f>SUM('ORDENES '!E33)</f>
        <v>0</v>
      </c>
      <c r="E6" s="93">
        <f>SUM('ORDENES '!F33)</f>
        <v>9</v>
      </c>
      <c r="F6" s="94">
        <f>SUM('ORDENES '!G33)</f>
        <v>0</v>
      </c>
      <c r="G6" s="93">
        <f>SUM('ORDENES '!H33)</f>
        <v>0</v>
      </c>
      <c r="H6" s="94">
        <f>SUM('ORDENES '!I33)</f>
        <v>0</v>
      </c>
      <c r="I6" s="93">
        <f>SUM('ORDENES '!J33)</f>
        <v>0</v>
      </c>
      <c r="J6" s="9">
        <f t="shared" si="4"/>
        <v>9</v>
      </c>
      <c r="K6" s="66">
        <f t="shared" si="0"/>
        <v>0</v>
      </c>
      <c r="L6" s="5">
        <f t="shared" si="5"/>
        <v>0</v>
      </c>
      <c r="M6" s="66">
        <f t="shared" si="6"/>
        <v>0</v>
      </c>
      <c r="N6" s="5">
        <f t="shared" si="7"/>
        <v>0</v>
      </c>
      <c r="O6" s="66">
        <f t="shared" si="8"/>
        <v>576</v>
      </c>
      <c r="P6" s="5">
        <f t="shared" si="9"/>
        <v>738</v>
      </c>
      <c r="Q6" s="66">
        <f t="shared" si="10"/>
        <v>0</v>
      </c>
      <c r="R6" s="5">
        <f t="shared" si="11"/>
        <v>0</v>
      </c>
      <c r="S6" s="66">
        <f t="shared" si="12"/>
        <v>0</v>
      </c>
      <c r="T6" s="5">
        <f t="shared" si="13"/>
        <v>0</v>
      </c>
      <c r="U6" s="66">
        <f t="shared" si="14"/>
        <v>0</v>
      </c>
      <c r="V6" s="5">
        <f t="shared" si="15"/>
        <v>0</v>
      </c>
      <c r="W6" s="66">
        <f t="shared" si="16"/>
        <v>0</v>
      </c>
      <c r="X6" s="5">
        <f t="shared" si="17"/>
        <v>0</v>
      </c>
      <c r="Y6" s="10">
        <f>SUM(PRECIOS!C6)</f>
        <v>64</v>
      </c>
      <c r="Z6" s="11">
        <f>SUM(PRECIOS!D6)</f>
        <v>82</v>
      </c>
      <c r="AA6" s="20">
        <f t="shared" si="1"/>
        <v>576</v>
      </c>
      <c r="AB6" s="12">
        <f t="shared" si="2"/>
        <v>738</v>
      </c>
      <c r="AC6" s="13">
        <f t="shared" si="3"/>
        <v>162</v>
      </c>
      <c r="AD6" s="3"/>
      <c r="AE6" s="24"/>
      <c r="AF6" s="26"/>
      <c r="AG6" s="26"/>
      <c r="AH6" s="28"/>
      <c r="AI6" s="2"/>
    </row>
    <row r="7" spans="1:35">
      <c r="A7" s="1">
        <v>4</v>
      </c>
      <c r="B7" s="89" t="str">
        <f>(PRECIOS!B7)</f>
        <v>PIERNA DE CERDO MOLIDA</v>
      </c>
      <c r="C7" s="93">
        <f>SUM('ORDENES '!D34)</f>
        <v>0</v>
      </c>
      <c r="D7" s="94">
        <f>SUM('ORDENES '!E34)</f>
        <v>0</v>
      </c>
      <c r="E7" s="93">
        <f>SUM('ORDENES '!F34)</f>
        <v>0</v>
      </c>
      <c r="F7" s="94">
        <f>SUM('ORDENES '!G34)</f>
        <v>0</v>
      </c>
      <c r="G7" s="93">
        <f>SUM('ORDENES '!H34)</f>
        <v>0</v>
      </c>
      <c r="H7" s="94">
        <f>SUM('ORDENES '!I34)</f>
        <v>0</v>
      </c>
      <c r="I7" s="93">
        <f>SUM('ORDENES '!J34)</f>
        <v>0</v>
      </c>
      <c r="J7" s="9">
        <f t="shared" si="4"/>
        <v>0</v>
      </c>
      <c r="K7" s="66">
        <f t="shared" si="0"/>
        <v>0</v>
      </c>
      <c r="L7" s="5">
        <f t="shared" si="5"/>
        <v>0</v>
      </c>
      <c r="M7" s="66">
        <f t="shared" si="6"/>
        <v>0</v>
      </c>
      <c r="N7" s="5">
        <f t="shared" si="7"/>
        <v>0</v>
      </c>
      <c r="O7" s="66">
        <f t="shared" si="8"/>
        <v>0</v>
      </c>
      <c r="P7" s="5">
        <f t="shared" si="9"/>
        <v>0</v>
      </c>
      <c r="Q7" s="66">
        <f t="shared" si="10"/>
        <v>0</v>
      </c>
      <c r="R7" s="5">
        <f t="shared" si="11"/>
        <v>0</v>
      </c>
      <c r="S7" s="66">
        <f t="shared" si="12"/>
        <v>0</v>
      </c>
      <c r="T7" s="5">
        <f t="shared" si="13"/>
        <v>0</v>
      </c>
      <c r="U7" s="66">
        <f t="shared" si="14"/>
        <v>0</v>
      </c>
      <c r="V7" s="5">
        <f t="shared" si="15"/>
        <v>0</v>
      </c>
      <c r="W7" s="66">
        <f t="shared" si="16"/>
        <v>0</v>
      </c>
      <c r="X7" s="5">
        <f t="shared" si="17"/>
        <v>0</v>
      </c>
      <c r="Y7" s="10">
        <f>SUM(PRECIOS!C7)</f>
        <v>50</v>
      </c>
      <c r="Z7" s="11">
        <f>SUM(PRECIOS!D7)</f>
        <v>60</v>
      </c>
      <c r="AA7" s="20">
        <f t="shared" si="1"/>
        <v>0</v>
      </c>
      <c r="AB7" s="12">
        <f t="shared" si="2"/>
        <v>0</v>
      </c>
      <c r="AC7" s="13">
        <f t="shared" si="3"/>
        <v>0</v>
      </c>
      <c r="AD7" s="3"/>
      <c r="AE7" s="24"/>
      <c r="AF7" s="26"/>
      <c r="AG7" s="26"/>
      <c r="AH7" s="28"/>
      <c r="AI7" s="2"/>
    </row>
    <row r="8" spans="1:35">
      <c r="A8" s="1">
        <v>5</v>
      </c>
      <c r="B8" s="89" t="str">
        <f>(PRECIOS!B8)</f>
        <v>MERO EN FILETE CONGELADO</v>
      </c>
      <c r="C8" s="93">
        <f>SUM('ORDENES '!D35)</f>
        <v>0</v>
      </c>
      <c r="D8" s="94">
        <f>SUM('ORDENES '!E35)</f>
        <v>0</v>
      </c>
      <c r="E8" s="93">
        <f>SUM('ORDENES '!F35)</f>
        <v>0</v>
      </c>
      <c r="F8" s="94">
        <f>SUM('ORDENES '!G35)</f>
        <v>0</v>
      </c>
      <c r="G8" s="93">
        <f>SUM('ORDENES '!H35)</f>
        <v>0</v>
      </c>
      <c r="H8" s="94">
        <f>SUM('ORDENES '!I35)</f>
        <v>19.5</v>
      </c>
      <c r="I8" s="93">
        <f>SUM('ORDENES '!J35)</f>
        <v>0</v>
      </c>
      <c r="J8" s="9">
        <f t="shared" si="4"/>
        <v>19.5</v>
      </c>
      <c r="K8" s="66">
        <f t="shared" si="0"/>
        <v>0</v>
      </c>
      <c r="L8" s="5">
        <f t="shared" si="5"/>
        <v>0</v>
      </c>
      <c r="M8" s="66">
        <f t="shared" si="6"/>
        <v>0</v>
      </c>
      <c r="N8" s="5">
        <f t="shared" si="7"/>
        <v>0</v>
      </c>
      <c r="O8" s="66">
        <f t="shared" si="8"/>
        <v>0</v>
      </c>
      <c r="P8" s="5">
        <f t="shared" si="9"/>
        <v>0</v>
      </c>
      <c r="Q8" s="66">
        <f t="shared" si="10"/>
        <v>0</v>
      </c>
      <c r="R8" s="5">
        <f t="shared" si="11"/>
        <v>0</v>
      </c>
      <c r="S8" s="66">
        <f t="shared" si="12"/>
        <v>0</v>
      </c>
      <c r="T8" s="5">
        <f t="shared" si="13"/>
        <v>0</v>
      </c>
      <c r="U8" s="66">
        <f t="shared" si="14"/>
        <v>1109.55</v>
      </c>
      <c r="V8" s="5">
        <f t="shared" si="15"/>
        <v>1755</v>
      </c>
      <c r="W8" s="66">
        <f t="shared" si="16"/>
        <v>0</v>
      </c>
      <c r="X8" s="5">
        <f t="shared" si="17"/>
        <v>0</v>
      </c>
      <c r="Y8" s="10">
        <f>SUM(PRECIOS!C8)</f>
        <v>56.9</v>
      </c>
      <c r="Z8" s="11">
        <f>SUM(PRECIOS!D8)</f>
        <v>90</v>
      </c>
      <c r="AA8" s="20">
        <f t="shared" si="1"/>
        <v>1109.55</v>
      </c>
      <c r="AB8" s="12">
        <f t="shared" si="2"/>
        <v>1755</v>
      </c>
      <c r="AC8" s="13">
        <f t="shared" si="3"/>
        <v>645.45000000000005</v>
      </c>
      <c r="AD8" s="3"/>
      <c r="AE8" s="29"/>
      <c r="AF8" s="26"/>
      <c r="AG8" s="26"/>
      <c r="AH8" s="28"/>
      <c r="AI8" s="2"/>
    </row>
    <row r="9" spans="1:35">
      <c r="A9" s="1">
        <v>6</v>
      </c>
      <c r="B9" s="89" t="str">
        <f>(PRECIOS!B9)</f>
        <v xml:space="preserve">PECHUGA DE POLLO </v>
      </c>
      <c r="C9" s="93">
        <f>SUM('ORDENES '!D36)</f>
        <v>0</v>
      </c>
      <c r="D9" s="94">
        <f>SUM('ORDENES '!E36)</f>
        <v>0</v>
      </c>
      <c r="E9" s="93">
        <f>SUM('ORDENES '!F36)</f>
        <v>0</v>
      </c>
      <c r="F9" s="94">
        <f>SUM('ORDENES '!G36)</f>
        <v>0</v>
      </c>
      <c r="G9" s="93">
        <f>SUM('ORDENES '!H36)</f>
        <v>0</v>
      </c>
      <c r="H9" s="94">
        <f>SUM('ORDENES '!I36)</f>
        <v>0</v>
      </c>
      <c r="I9" s="93">
        <f>SUM('ORDENES '!J36)</f>
        <v>0</v>
      </c>
      <c r="J9" s="9">
        <f t="shared" si="4"/>
        <v>0</v>
      </c>
      <c r="K9" s="66">
        <f t="shared" ref="K9" si="18">SUM(C9*Y9)</f>
        <v>0</v>
      </c>
      <c r="L9" s="5">
        <f t="shared" ref="L9" si="19">SUM(C9*Z9)</f>
        <v>0</v>
      </c>
      <c r="M9" s="66">
        <f t="shared" ref="M9" si="20">SUM(D9*Y9)</f>
        <v>0</v>
      </c>
      <c r="N9" s="5">
        <f t="shared" ref="N9" si="21">SUM(D9*Z9)</f>
        <v>0</v>
      </c>
      <c r="O9" s="66">
        <f t="shared" ref="O9" si="22">SUM(E9*Y9)</f>
        <v>0</v>
      </c>
      <c r="P9" s="5">
        <f t="shared" ref="P9" si="23">SUM(E9*Z9)</f>
        <v>0</v>
      </c>
      <c r="Q9" s="66">
        <f t="shared" ref="Q9" si="24">SUM(F9*Y9)</f>
        <v>0</v>
      </c>
      <c r="R9" s="5">
        <f t="shared" ref="R9" si="25">SUM(F9*Z9)</f>
        <v>0</v>
      </c>
      <c r="S9" s="66">
        <f t="shared" ref="S9" si="26">SUM(G9*Y9)</f>
        <v>0</v>
      </c>
      <c r="T9" s="5">
        <f t="shared" ref="T9" si="27">SUM(G9*Z9)</f>
        <v>0</v>
      </c>
      <c r="U9" s="66">
        <f t="shared" ref="U9" si="28">SUM(H9*Y9)</f>
        <v>0</v>
      </c>
      <c r="V9" s="5">
        <f t="shared" ref="V9" si="29">SUM(H9*Z9)</f>
        <v>0</v>
      </c>
      <c r="W9" s="66">
        <f t="shared" ref="W9" si="30">SUM(I9*Y9)</f>
        <v>0</v>
      </c>
      <c r="X9" s="5">
        <f t="shared" ref="X9" si="31">SUM(I9*Z9)</f>
        <v>0</v>
      </c>
      <c r="Y9" s="10">
        <f>SUM(PRECIOS!C9)</f>
        <v>0</v>
      </c>
      <c r="Z9" s="11">
        <f>SUM(PRECIOS!D9)</f>
        <v>98</v>
      </c>
      <c r="AA9" s="20">
        <f t="shared" ref="AA9" si="32">Y9*J9</f>
        <v>0</v>
      </c>
      <c r="AB9" s="12">
        <f t="shared" ref="AB9" si="33">Z9*J9</f>
        <v>0</v>
      </c>
      <c r="AC9" s="13">
        <f t="shared" ref="AC9" si="34">AB9-AA9</f>
        <v>0</v>
      </c>
      <c r="AD9" s="3"/>
      <c r="AE9" s="29"/>
      <c r="AF9" s="26"/>
      <c r="AG9" s="26"/>
      <c r="AH9" s="28"/>
      <c r="AI9" s="2"/>
    </row>
    <row r="10" spans="1:35" ht="22.5">
      <c r="A10" s="1">
        <v>6</v>
      </c>
      <c r="B10" s="89" t="str">
        <f>(PRECIOS!B10)</f>
        <v>PECHUGA DE POLLO DESHUESADA</v>
      </c>
      <c r="C10" s="93">
        <f>SUM('ORDENES '!D37)</f>
        <v>8.15</v>
      </c>
      <c r="D10" s="94">
        <f>SUM('ORDENES '!E37)</f>
        <v>17.5</v>
      </c>
      <c r="E10" s="93">
        <f>SUM('ORDENES '!F37)</f>
        <v>1.1000000000000001</v>
      </c>
      <c r="F10" s="94">
        <f>SUM('ORDENES '!G37)</f>
        <v>12.3</v>
      </c>
      <c r="G10" s="93">
        <f>SUM('ORDENES '!H37)</f>
        <v>19.100000000000001</v>
      </c>
      <c r="H10" s="94">
        <f>SUM('ORDENES '!I37)</f>
        <v>3.13</v>
      </c>
      <c r="I10" s="93">
        <f>SUM('ORDENES '!J37)</f>
        <v>21.38</v>
      </c>
      <c r="J10" s="9">
        <f t="shared" si="4"/>
        <v>82.66</v>
      </c>
      <c r="K10" s="66">
        <f t="shared" si="0"/>
        <v>601.47</v>
      </c>
      <c r="L10" s="5">
        <f t="shared" si="5"/>
        <v>1222.5</v>
      </c>
      <c r="M10" s="66">
        <f t="shared" si="6"/>
        <v>1291.5</v>
      </c>
      <c r="N10" s="5">
        <f t="shared" si="7"/>
        <v>2625</v>
      </c>
      <c r="O10" s="66">
        <f t="shared" si="8"/>
        <v>81.180000000000007</v>
      </c>
      <c r="P10" s="5">
        <f t="shared" si="9"/>
        <v>165</v>
      </c>
      <c r="Q10" s="66">
        <f t="shared" si="10"/>
        <v>907.74</v>
      </c>
      <c r="R10" s="5">
        <f t="shared" si="11"/>
        <v>1845</v>
      </c>
      <c r="S10" s="66">
        <f t="shared" si="12"/>
        <v>1409.5800000000002</v>
      </c>
      <c r="T10" s="5">
        <f t="shared" si="13"/>
        <v>2865</v>
      </c>
      <c r="U10" s="66">
        <f t="shared" si="14"/>
        <v>230.99399999999997</v>
      </c>
      <c r="V10" s="5">
        <f t="shared" si="15"/>
        <v>469.5</v>
      </c>
      <c r="W10" s="66">
        <f t="shared" si="16"/>
        <v>1577.8439999999998</v>
      </c>
      <c r="X10" s="5">
        <f t="shared" si="17"/>
        <v>3207</v>
      </c>
      <c r="Y10" s="10">
        <f>SUM(PRECIOS!C10)</f>
        <v>73.8</v>
      </c>
      <c r="Z10" s="11">
        <f>SUM(PRECIOS!D10)</f>
        <v>150</v>
      </c>
      <c r="AA10" s="20">
        <f t="shared" si="1"/>
        <v>6100.3079999999991</v>
      </c>
      <c r="AB10" s="12">
        <f t="shared" si="2"/>
        <v>12399</v>
      </c>
      <c r="AC10" s="13">
        <f t="shared" si="3"/>
        <v>6298.6920000000009</v>
      </c>
      <c r="AD10" s="3"/>
      <c r="AE10" s="17"/>
      <c r="AF10" s="3"/>
      <c r="AG10" s="3"/>
      <c r="AH10" s="2"/>
      <c r="AI10" s="2"/>
    </row>
    <row r="11" spans="1:35" ht="22.5">
      <c r="A11" s="1">
        <v>7</v>
      </c>
      <c r="B11" s="89" t="str">
        <f>(PRECIOS!B11)</f>
        <v>PECHUGA  DESHUESADA EN BISTEC</v>
      </c>
      <c r="C11" s="93">
        <f>SUM('ORDENES '!D38)</f>
        <v>1.35</v>
      </c>
      <c r="D11" s="94">
        <f>SUM('ORDENES '!E38)</f>
        <v>2.7</v>
      </c>
      <c r="E11" s="93">
        <f>SUM('ORDENES '!F38)</f>
        <v>9.27</v>
      </c>
      <c r="F11" s="94">
        <f>SUM('ORDENES '!G38)</f>
        <v>1.35</v>
      </c>
      <c r="G11" s="93">
        <f>SUM('ORDENES '!H38)</f>
        <v>0</v>
      </c>
      <c r="H11" s="94">
        <f>SUM('ORDENES '!I38)</f>
        <v>0</v>
      </c>
      <c r="I11" s="93">
        <f>SUM('ORDENES '!J38)</f>
        <v>0</v>
      </c>
      <c r="J11" s="9">
        <f t="shared" si="4"/>
        <v>14.67</v>
      </c>
      <c r="K11" s="66">
        <f t="shared" si="0"/>
        <v>99.63000000000001</v>
      </c>
      <c r="L11" s="5">
        <f t="shared" si="5"/>
        <v>202.5</v>
      </c>
      <c r="M11" s="66">
        <f t="shared" si="6"/>
        <v>199.26000000000002</v>
      </c>
      <c r="N11" s="5">
        <f t="shared" si="7"/>
        <v>405</v>
      </c>
      <c r="O11" s="66">
        <f t="shared" si="8"/>
        <v>684.12599999999998</v>
      </c>
      <c r="P11" s="5">
        <f t="shared" si="9"/>
        <v>1390.5</v>
      </c>
      <c r="Q11" s="66">
        <f t="shared" si="10"/>
        <v>99.63000000000001</v>
      </c>
      <c r="R11" s="5">
        <f t="shared" si="11"/>
        <v>202.5</v>
      </c>
      <c r="S11" s="66">
        <f t="shared" si="12"/>
        <v>0</v>
      </c>
      <c r="T11" s="5">
        <f t="shared" si="13"/>
        <v>0</v>
      </c>
      <c r="U11" s="66">
        <f t="shared" si="14"/>
        <v>0</v>
      </c>
      <c r="V11" s="5">
        <f t="shared" si="15"/>
        <v>0</v>
      </c>
      <c r="W11" s="66">
        <f t="shared" si="16"/>
        <v>0</v>
      </c>
      <c r="X11" s="5">
        <f t="shared" si="17"/>
        <v>0</v>
      </c>
      <c r="Y11" s="10">
        <f>SUM(PRECIOS!C11)</f>
        <v>73.8</v>
      </c>
      <c r="Z11" s="11">
        <f>SUM(PRECIOS!D11)</f>
        <v>150</v>
      </c>
      <c r="AA11" s="20">
        <f t="shared" si="1"/>
        <v>1082.646</v>
      </c>
      <c r="AB11" s="12">
        <f t="shared" si="2"/>
        <v>2200.5</v>
      </c>
      <c r="AC11" s="13">
        <f t="shared" si="3"/>
        <v>1117.854</v>
      </c>
      <c r="AD11" s="3"/>
      <c r="AE11" s="17"/>
      <c r="AF11" s="3"/>
      <c r="AG11" s="3"/>
      <c r="AH11" s="2"/>
      <c r="AI11" s="2"/>
    </row>
    <row r="12" spans="1:35">
      <c r="A12" s="1">
        <v>8</v>
      </c>
      <c r="B12" s="89" t="str">
        <f>(PRECIOS!B12)</f>
        <v>PECHUGA DE POLLO  MÓLIDA</v>
      </c>
      <c r="C12" s="93">
        <f>SUM('ORDENES '!D39)</f>
        <v>0</v>
      </c>
      <c r="D12" s="94">
        <f>SUM('ORDENES '!E39)</f>
        <v>0</v>
      </c>
      <c r="E12" s="93">
        <f>SUM('ORDENES '!F39)</f>
        <v>0</v>
      </c>
      <c r="F12" s="94">
        <f>SUM('ORDENES '!G39)</f>
        <v>0</v>
      </c>
      <c r="G12" s="93">
        <f>SUM('ORDENES '!H39)</f>
        <v>0</v>
      </c>
      <c r="H12" s="94">
        <f>SUM('ORDENES '!I39)</f>
        <v>0</v>
      </c>
      <c r="I12" s="93">
        <f>SUM('ORDENES '!J39)</f>
        <v>0</v>
      </c>
      <c r="J12" s="9">
        <f t="shared" si="4"/>
        <v>0</v>
      </c>
      <c r="K12" s="66">
        <f t="shared" si="0"/>
        <v>0</v>
      </c>
      <c r="L12" s="5">
        <f t="shared" si="5"/>
        <v>0</v>
      </c>
      <c r="M12" s="66">
        <f t="shared" si="6"/>
        <v>0</v>
      </c>
      <c r="N12" s="5">
        <f t="shared" si="7"/>
        <v>0</v>
      </c>
      <c r="O12" s="66">
        <f t="shared" si="8"/>
        <v>0</v>
      </c>
      <c r="P12" s="5">
        <f t="shared" si="9"/>
        <v>0</v>
      </c>
      <c r="Q12" s="66">
        <f t="shared" si="10"/>
        <v>0</v>
      </c>
      <c r="R12" s="5">
        <f t="shared" si="11"/>
        <v>0</v>
      </c>
      <c r="S12" s="66">
        <f t="shared" si="12"/>
        <v>0</v>
      </c>
      <c r="T12" s="5">
        <f t="shared" si="13"/>
        <v>0</v>
      </c>
      <c r="U12" s="66">
        <f t="shared" si="14"/>
        <v>0</v>
      </c>
      <c r="V12" s="5">
        <f t="shared" si="15"/>
        <v>0</v>
      </c>
      <c r="W12" s="66">
        <f t="shared" si="16"/>
        <v>0</v>
      </c>
      <c r="X12" s="5">
        <f t="shared" si="17"/>
        <v>0</v>
      </c>
      <c r="Y12" s="10">
        <f>SUM(PRECIOS!C12)</f>
        <v>55</v>
      </c>
      <c r="Z12" s="11">
        <f>SUM(PRECIOS!D12)</f>
        <v>75</v>
      </c>
      <c r="AA12" s="20">
        <f t="shared" si="1"/>
        <v>0</v>
      </c>
      <c r="AB12" s="12">
        <f t="shared" si="2"/>
        <v>0</v>
      </c>
      <c r="AC12" s="13">
        <f t="shared" si="3"/>
        <v>0</v>
      </c>
      <c r="AD12" s="3"/>
      <c r="AE12" s="17"/>
      <c r="AF12" s="3"/>
      <c r="AG12" s="3"/>
      <c r="AH12" s="2"/>
      <c r="AI12" s="2"/>
    </row>
    <row r="13" spans="1:35" ht="22.5">
      <c r="A13" s="1">
        <v>9</v>
      </c>
      <c r="B13" s="89" t="str">
        <f>(PRECIOS!B13)</f>
        <v>PIERNA Y MUSLO DE POLLO SIN PIEL EN FORMA DE PISTOLA</v>
      </c>
      <c r="C13" s="93">
        <f>SUM('ORDENES '!D40)</f>
        <v>12.45</v>
      </c>
      <c r="D13" s="94">
        <f>SUM('ORDENES '!E40)</f>
        <v>15.75</v>
      </c>
      <c r="E13" s="93">
        <f>SUM('ORDENES '!F40)</f>
        <v>0</v>
      </c>
      <c r="F13" s="94">
        <f>SUM('ORDENES '!G40)</f>
        <v>9.75</v>
      </c>
      <c r="G13" s="93">
        <f>SUM('ORDENES '!H40)</f>
        <v>0</v>
      </c>
      <c r="H13" s="94">
        <f>SUM('ORDENES '!I40)</f>
        <v>15.45</v>
      </c>
      <c r="I13" s="93">
        <f>SUM('ORDENES '!J40)</f>
        <v>0</v>
      </c>
      <c r="J13" s="9">
        <f t="shared" si="4"/>
        <v>53.400000000000006</v>
      </c>
      <c r="K13" s="66">
        <f t="shared" si="0"/>
        <v>445.70999999999992</v>
      </c>
      <c r="L13" s="5">
        <f t="shared" si="5"/>
        <v>809.25</v>
      </c>
      <c r="M13" s="66">
        <f t="shared" si="6"/>
        <v>563.84999999999991</v>
      </c>
      <c r="N13" s="5">
        <f t="shared" si="7"/>
        <v>1023.75</v>
      </c>
      <c r="O13" s="66">
        <f t="shared" si="8"/>
        <v>0</v>
      </c>
      <c r="P13" s="5">
        <f t="shared" si="9"/>
        <v>0</v>
      </c>
      <c r="Q13" s="66">
        <f t="shared" si="10"/>
        <v>349.04999999999995</v>
      </c>
      <c r="R13" s="5">
        <f t="shared" si="11"/>
        <v>633.75</v>
      </c>
      <c r="S13" s="66">
        <f t="shared" si="12"/>
        <v>0</v>
      </c>
      <c r="T13" s="5">
        <f t="shared" si="13"/>
        <v>0</v>
      </c>
      <c r="U13" s="66">
        <f t="shared" si="14"/>
        <v>553.1099999999999</v>
      </c>
      <c r="V13" s="5">
        <f t="shared" si="15"/>
        <v>1004.25</v>
      </c>
      <c r="W13" s="66">
        <f t="shared" si="16"/>
        <v>0</v>
      </c>
      <c r="X13" s="5">
        <f t="shared" si="17"/>
        <v>0</v>
      </c>
      <c r="Y13" s="10">
        <f>SUM(PRECIOS!C13)</f>
        <v>35.799999999999997</v>
      </c>
      <c r="Z13" s="11">
        <f>SUM(PRECIOS!D13)</f>
        <v>65</v>
      </c>
      <c r="AA13" s="20">
        <f t="shared" si="1"/>
        <v>1911.72</v>
      </c>
      <c r="AB13" s="12">
        <f t="shared" si="2"/>
        <v>3471.0000000000005</v>
      </c>
      <c r="AC13" s="13">
        <f t="shared" si="3"/>
        <v>1559.2800000000004</v>
      </c>
      <c r="AD13" s="3"/>
      <c r="AE13" s="17"/>
      <c r="AF13" s="3"/>
      <c r="AG13" s="3"/>
      <c r="AH13" s="2"/>
      <c r="AI13" s="2"/>
    </row>
    <row r="14" spans="1:35">
      <c r="A14" s="1">
        <v>10</v>
      </c>
      <c r="B14" s="89" t="str">
        <f>(PRECIOS!B14)</f>
        <v>POLLO ENTERO</v>
      </c>
      <c r="C14" s="93">
        <f>SUM('ORDENES '!D41)</f>
        <v>0</v>
      </c>
      <c r="D14" s="94">
        <f>SUM('ORDENES '!E41)</f>
        <v>0</v>
      </c>
      <c r="E14" s="93">
        <f>SUM('ORDENES '!F41)</f>
        <v>0</v>
      </c>
      <c r="F14" s="94">
        <f>SUM('ORDENES '!G41)</f>
        <v>0</v>
      </c>
      <c r="G14" s="93">
        <f>SUM('ORDENES '!H41)</f>
        <v>0</v>
      </c>
      <c r="H14" s="94">
        <f>SUM('ORDENES '!I41)</f>
        <v>0</v>
      </c>
      <c r="I14" s="93">
        <f>SUM('ORDENES '!J41)</f>
        <v>0</v>
      </c>
      <c r="J14" s="9">
        <f t="shared" si="4"/>
        <v>0</v>
      </c>
      <c r="K14" s="66">
        <f t="shared" si="0"/>
        <v>0</v>
      </c>
      <c r="L14" s="5">
        <f t="shared" si="5"/>
        <v>0</v>
      </c>
      <c r="M14" s="66">
        <f t="shared" si="6"/>
        <v>0</v>
      </c>
      <c r="N14" s="5">
        <f t="shared" si="7"/>
        <v>0</v>
      </c>
      <c r="O14" s="66">
        <f t="shared" si="8"/>
        <v>0</v>
      </c>
      <c r="P14" s="5">
        <f t="shared" si="9"/>
        <v>0</v>
      </c>
      <c r="Q14" s="66">
        <f t="shared" si="10"/>
        <v>0</v>
      </c>
      <c r="R14" s="5">
        <f t="shared" si="11"/>
        <v>0</v>
      </c>
      <c r="S14" s="66">
        <f t="shared" si="12"/>
        <v>0</v>
      </c>
      <c r="T14" s="5">
        <f t="shared" si="13"/>
        <v>0</v>
      </c>
      <c r="U14" s="66">
        <f t="shared" si="14"/>
        <v>0</v>
      </c>
      <c r="V14" s="5">
        <f t="shared" si="15"/>
        <v>0</v>
      </c>
      <c r="W14" s="66">
        <f t="shared" si="16"/>
        <v>0</v>
      </c>
      <c r="X14" s="5">
        <f t="shared" si="17"/>
        <v>0</v>
      </c>
      <c r="Y14" s="10">
        <f>SUM(PRECIOS!C14)</f>
        <v>50</v>
      </c>
      <c r="Z14" s="11">
        <f>SUM(PRECIOS!D14)</f>
        <v>50</v>
      </c>
      <c r="AA14" s="20">
        <f t="shared" si="1"/>
        <v>0</v>
      </c>
      <c r="AB14" s="12">
        <f t="shared" si="2"/>
        <v>0</v>
      </c>
      <c r="AC14" s="13">
        <f t="shared" si="3"/>
        <v>0</v>
      </c>
      <c r="AD14" s="3"/>
      <c r="AE14" s="17"/>
      <c r="AF14" s="3"/>
      <c r="AG14" s="3"/>
      <c r="AH14" s="2"/>
      <c r="AI14" s="2"/>
    </row>
    <row r="15" spans="1:35">
      <c r="A15" s="1">
        <v>11</v>
      </c>
      <c r="B15" s="89" t="str">
        <f>(PRECIOS!B15)</f>
        <v>BISTEC DE PIERNA DE RES</v>
      </c>
      <c r="C15" s="93">
        <f>SUM('ORDENES '!D42)</f>
        <v>0</v>
      </c>
      <c r="D15" s="94">
        <f>SUM('ORDENES '!E42)</f>
        <v>9.6</v>
      </c>
      <c r="E15" s="93">
        <f>SUM('ORDENES '!F42)</f>
        <v>6</v>
      </c>
      <c r="F15" s="94">
        <f>SUM('ORDENES '!G42)</f>
        <v>14.7</v>
      </c>
      <c r="G15" s="93">
        <f>SUM('ORDENES '!H42)</f>
        <v>9</v>
      </c>
      <c r="H15" s="94">
        <f>SUM('ORDENES '!I42)</f>
        <v>0</v>
      </c>
      <c r="I15" s="93">
        <f>SUM('ORDENES '!J42)</f>
        <v>0</v>
      </c>
      <c r="J15" s="9">
        <f t="shared" si="4"/>
        <v>39.299999999999997</v>
      </c>
      <c r="K15" s="66">
        <f t="shared" si="0"/>
        <v>0</v>
      </c>
      <c r="L15" s="5">
        <f t="shared" si="5"/>
        <v>0</v>
      </c>
      <c r="M15" s="66">
        <f t="shared" si="6"/>
        <v>1344</v>
      </c>
      <c r="N15" s="5">
        <f t="shared" si="7"/>
        <v>1536</v>
      </c>
      <c r="O15" s="66">
        <f t="shared" si="8"/>
        <v>840</v>
      </c>
      <c r="P15" s="5">
        <f t="shared" si="9"/>
        <v>960</v>
      </c>
      <c r="Q15" s="66">
        <f t="shared" si="10"/>
        <v>2058</v>
      </c>
      <c r="R15" s="5">
        <f t="shared" si="11"/>
        <v>2352</v>
      </c>
      <c r="S15" s="66">
        <f t="shared" si="12"/>
        <v>1260</v>
      </c>
      <c r="T15" s="5">
        <f t="shared" si="13"/>
        <v>1440</v>
      </c>
      <c r="U15" s="66">
        <f t="shared" si="14"/>
        <v>0</v>
      </c>
      <c r="V15" s="5">
        <f t="shared" si="15"/>
        <v>0</v>
      </c>
      <c r="W15" s="66">
        <f t="shared" si="16"/>
        <v>0</v>
      </c>
      <c r="X15" s="5">
        <f t="shared" si="17"/>
        <v>0</v>
      </c>
      <c r="Y15" s="10">
        <f>SUM(PRECIOS!C15)</f>
        <v>140</v>
      </c>
      <c r="Z15" s="11">
        <f>SUM(PRECIOS!D15)</f>
        <v>160</v>
      </c>
      <c r="AA15" s="20">
        <f t="shared" si="1"/>
        <v>5502</v>
      </c>
      <c r="AB15" s="12">
        <f t="shared" si="2"/>
        <v>6288</v>
      </c>
      <c r="AC15" s="13">
        <f t="shared" si="3"/>
        <v>786</v>
      </c>
      <c r="AD15" s="3"/>
      <c r="AE15" s="17"/>
      <c r="AF15" s="3"/>
      <c r="AG15" s="3"/>
      <c r="AH15" s="2"/>
      <c r="AI15" s="2"/>
    </row>
    <row r="16" spans="1:35">
      <c r="A16" s="1">
        <v>12</v>
      </c>
      <c r="B16" s="89" t="str">
        <f>(PRECIOS!B16)</f>
        <v>CHAMBARETE DE RES</v>
      </c>
      <c r="C16" s="93">
        <f>SUM('ORDENES '!D43)</f>
        <v>0</v>
      </c>
      <c r="D16" s="94">
        <f>SUM('ORDENES '!E43)</f>
        <v>0</v>
      </c>
      <c r="E16" s="93">
        <f>SUM('ORDENES '!F43)</f>
        <v>0</v>
      </c>
      <c r="F16" s="94">
        <f>SUM('ORDENES '!G43)</f>
        <v>0</v>
      </c>
      <c r="G16" s="93">
        <f>SUM('ORDENES '!H43)</f>
        <v>0</v>
      </c>
      <c r="H16" s="94">
        <f>SUM('ORDENES '!I43)</f>
        <v>0</v>
      </c>
      <c r="I16" s="93">
        <f>SUM('ORDENES '!J43)</f>
        <v>0</v>
      </c>
      <c r="J16" s="9">
        <f t="shared" si="4"/>
        <v>0</v>
      </c>
      <c r="K16" s="66">
        <f t="shared" si="0"/>
        <v>0</v>
      </c>
      <c r="L16" s="5">
        <f t="shared" si="5"/>
        <v>0</v>
      </c>
      <c r="M16" s="66">
        <f t="shared" si="6"/>
        <v>0</v>
      </c>
      <c r="N16" s="5">
        <f t="shared" si="7"/>
        <v>0</v>
      </c>
      <c r="O16" s="66">
        <f t="shared" si="8"/>
        <v>0</v>
      </c>
      <c r="P16" s="5">
        <f t="shared" si="9"/>
        <v>0</v>
      </c>
      <c r="Q16" s="66">
        <f t="shared" si="10"/>
        <v>0</v>
      </c>
      <c r="R16" s="5">
        <f t="shared" si="11"/>
        <v>0</v>
      </c>
      <c r="S16" s="66">
        <f t="shared" si="12"/>
        <v>0</v>
      </c>
      <c r="T16" s="5">
        <f t="shared" si="13"/>
        <v>0</v>
      </c>
      <c r="U16" s="66">
        <f t="shared" si="14"/>
        <v>0</v>
      </c>
      <c r="V16" s="5">
        <f t="shared" si="15"/>
        <v>0</v>
      </c>
      <c r="W16" s="66">
        <f t="shared" si="16"/>
        <v>0</v>
      </c>
      <c r="X16" s="5">
        <f t="shared" si="17"/>
        <v>0</v>
      </c>
      <c r="Y16" s="10">
        <f>SUM(PRECIOS!C16)</f>
        <v>120</v>
      </c>
      <c r="Z16" s="11">
        <f>SUM(PRECIOS!D16)</f>
        <v>120</v>
      </c>
      <c r="AA16" s="20">
        <f t="shared" si="1"/>
        <v>0</v>
      </c>
      <c r="AB16" s="12">
        <f t="shared" si="2"/>
        <v>0</v>
      </c>
      <c r="AC16" s="13">
        <f t="shared" si="3"/>
        <v>0</v>
      </c>
      <c r="AD16" s="3"/>
      <c r="AE16" s="17"/>
      <c r="AF16" s="3"/>
      <c r="AG16" s="3"/>
      <c r="AH16" s="2"/>
      <c r="AI16" s="2"/>
    </row>
    <row r="17" spans="1:35">
      <c r="A17" s="1">
        <v>13</v>
      </c>
      <c r="B17" s="89" t="str">
        <f>(PRECIOS!B17)</f>
        <v>CUETE DE PIERNA DE RES</v>
      </c>
      <c r="C17" s="93">
        <f>SUM('ORDENES '!D44)</f>
        <v>0</v>
      </c>
      <c r="D17" s="94">
        <f>SUM('ORDENES '!E44)</f>
        <v>0</v>
      </c>
      <c r="E17" s="93">
        <f>SUM('ORDENES '!F44)</f>
        <v>0</v>
      </c>
      <c r="F17" s="94">
        <f>SUM('ORDENES '!G44)</f>
        <v>0</v>
      </c>
      <c r="G17" s="93">
        <f>SUM('ORDENES '!H44)</f>
        <v>0</v>
      </c>
      <c r="H17" s="94">
        <f>SUM('ORDENES '!I44)</f>
        <v>0</v>
      </c>
      <c r="I17" s="93">
        <f>SUM('ORDENES '!J44)</f>
        <v>0</v>
      </c>
      <c r="J17" s="9">
        <f t="shared" si="4"/>
        <v>0</v>
      </c>
      <c r="K17" s="66">
        <f t="shared" si="0"/>
        <v>0</v>
      </c>
      <c r="L17" s="5">
        <f t="shared" si="5"/>
        <v>0</v>
      </c>
      <c r="M17" s="66">
        <f t="shared" si="6"/>
        <v>0</v>
      </c>
      <c r="N17" s="5">
        <f t="shared" si="7"/>
        <v>0</v>
      </c>
      <c r="O17" s="66">
        <f t="shared" si="8"/>
        <v>0</v>
      </c>
      <c r="P17" s="5">
        <f t="shared" si="9"/>
        <v>0</v>
      </c>
      <c r="Q17" s="66">
        <f t="shared" si="10"/>
        <v>0</v>
      </c>
      <c r="R17" s="5">
        <f t="shared" si="11"/>
        <v>0</v>
      </c>
      <c r="S17" s="66">
        <f t="shared" si="12"/>
        <v>0</v>
      </c>
      <c r="T17" s="5">
        <f t="shared" si="13"/>
        <v>0</v>
      </c>
      <c r="U17" s="66">
        <f t="shared" si="14"/>
        <v>0</v>
      </c>
      <c r="V17" s="5">
        <f t="shared" si="15"/>
        <v>0</v>
      </c>
      <c r="W17" s="66">
        <f t="shared" si="16"/>
        <v>0</v>
      </c>
      <c r="X17" s="5">
        <f t="shared" si="17"/>
        <v>0</v>
      </c>
      <c r="Y17" s="10">
        <f>SUM(PRECIOS!C17)</f>
        <v>89</v>
      </c>
      <c r="Z17" s="11">
        <f>SUM(PRECIOS!D17)</f>
        <v>120</v>
      </c>
      <c r="AA17" s="20">
        <f t="shared" si="1"/>
        <v>0</v>
      </c>
      <c r="AB17" s="12">
        <f t="shared" si="2"/>
        <v>0</v>
      </c>
      <c r="AC17" s="13">
        <f t="shared" si="3"/>
        <v>0</v>
      </c>
      <c r="AD17" s="3"/>
      <c r="AE17" s="17"/>
      <c r="AF17" s="3"/>
      <c r="AG17" s="3"/>
      <c r="AH17" s="2"/>
      <c r="AI17" s="2"/>
    </row>
    <row r="18" spans="1:35">
      <c r="A18" s="1">
        <v>14</v>
      </c>
      <c r="B18" s="89" t="str">
        <f>(PRECIOS!B18)</f>
        <v>FALDA DE RES</v>
      </c>
      <c r="C18" s="93">
        <f>SUM('ORDENES '!D45)</f>
        <v>0</v>
      </c>
      <c r="D18" s="94">
        <f>SUM('ORDENES '!E45)</f>
        <v>0</v>
      </c>
      <c r="E18" s="93">
        <f>SUM('ORDENES '!F45)</f>
        <v>0</v>
      </c>
      <c r="F18" s="94">
        <f>SUM('ORDENES '!G45)</f>
        <v>0</v>
      </c>
      <c r="G18" s="93">
        <f>SUM('ORDENES '!H45)</f>
        <v>0</v>
      </c>
      <c r="H18" s="94">
        <f>SUM('ORDENES '!I45)</f>
        <v>0</v>
      </c>
      <c r="I18" s="93">
        <f>SUM('ORDENES '!J45)</f>
        <v>0</v>
      </c>
      <c r="J18" s="9">
        <f t="shared" si="4"/>
        <v>0</v>
      </c>
      <c r="K18" s="66">
        <f t="shared" si="0"/>
        <v>0</v>
      </c>
      <c r="L18" s="5">
        <f t="shared" si="5"/>
        <v>0</v>
      </c>
      <c r="M18" s="66">
        <f t="shared" si="6"/>
        <v>0</v>
      </c>
      <c r="N18" s="5">
        <f t="shared" si="7"/>
        <v>0</v>
      </c>
      <c r="O18" s="66">
        <f t="shared" si="8"/>
        <v>0</v>
      </c>
      <c r="P18" s="5">
        <f t="shared" si="9"/>
        <v>0</v>
      </c>
      <c r="Q18" s="66">
        <f t="shared" si="10"/>
        <v>0</v>
      </c>
      <c r="R18" s="5">
        <f t="shared" si="11"/>
        <v>0</v>
      </c>
      <c r="S18" s="66">
        <f t="shared" si="12"/>
        <v>0</v>
      </c>
      <c r="T18" s="5">
        <f t="shared" si="13"/>
        <v>0</v>
      </c>
      <c r="U18" s="66">
        <f t="shared" si="14"/>
        <v>0</v>
      </c>
      <c r="V18" s="5">
        <f t="shared" si="15"/>
        <v>0</v>
      </c>
      <c r="W18" s="66">
        <f t="shared" si="16"/>
        <v>0</v>
      </c>
      <c r="X18" s="5">
        <f t="shared" si="17"/>
        <v>0</v>
      </c>
      <c r="Y18" s="10">
        <f>SUM(PRECIOS!C18)</f>
        <v>80</v>
      </c>
      <c r="Z18" s="11">
        <f>SUM(PRECIOS!D18)</f>
        <v>140</v>
      </c>
      <c r="AA18" s="20">
        <f t="shared" si="1"/>
        <v>0</v>
      </c>
      <c r="AB18" s="12">
        <f t="shared" si="2"/>
        <v>0</v>
      </c>
      <c r="AC18" s="13">
        <f t="shared" si="3"/>
        <v>0</v>
      </c>
      <c r="AD18" s="3"/>
      <c r="AE18" s="17"/>
      <c r="AF18" s="3"/>
      <c r="AG18" s="3"/>
      <c r="AH18" s="2"/>
      <c r="AI18" s="2"/>
    </row>
    <row r="19" spans="1:35">
      <c r="A19" s="1">
        <v>15</v>
      </c>
      <c r="B19" s="89" t="str">
        <f>(PRECIOS!B19)</f>
        <v>PULPA DE RES EN TROZO</v>
      </c>
      <c r="C19" s="93">
        <f>SUM('ORDENES '!D46)</f>
        <v>9</v>
      </c>
      <c r="D19" s="94">
        <f>SUM('ORDENES '!E46)</f>
        <v>0</v>
      </c>
      <c r="E19" s="93">
        <f>SUM('ORDENES '!F46)</f>
        <v>0</v>
      </c>
      <c r="F19" s="94">
        <f>SUM('ORDENES '!G46)</f>
        <v>0</v>
      </c>
      <c r="G19" s="93">
        <f>SUM('ORDENES '!H46)</f>
        <v>5.4</v>
      </c>
      <c r="H19" s="94">
        <f>SUM('ORDENES '!I46)</f>
        <v>5.4</v>
      </c>
      <c r="I19" s="93">
        <f>SUM('ORDENES '!J46)</f>
        <v>0</v>
      </c>
      <c r="J19" s="9">
        <f t="shared" si="4"/>
        <v>19.8</v>
      </c>
      <c r="K19" s="66">
        <f t="shared" si="0"/>
        <v>810</v>
      </c>
      <c r="L19" s="5">
        <f t="shared" si="5"/>
        <v>1305</v>
      </c>
      <c r="M19" s="66">
        <f t="shared" si="6"/>
        <v>0</v>
      </c>
      <c r="N19" s="5">
        <f t="shared" si="7"/>
        <v>0</v>
      </c>
      <c r="O19" s="66">
        <f t="shared" si="8"/>
        <v>0</v>
      </c>
      <c r="P19" s="5">
        <f t="shared" si="9"/>
        <v>0</v>
      </c>
      <c r="Q19" s="66">
        <f t="shared" si="10"/>
        <v>0</v>
      </c>
      <c r="R19" s="5">
        <f t="shared" si="11"/>
        <v>0</v>
      </c>
      <c r="S19" s="66">
        <f t="shared" si="12"/>
        <v>486.00000000000006</v>
      </c>
      <c r="T19" s="5">
        <f t="shared" si="13"/>
        <v>783</v>
      </c>
      <c r="U19" s="66">
        <f t="shared" si="14"/>
        <v>486.00000000000006</v>
      </c>
      <c r="V19" s="5">
        <f t="shared" si="15"/>
        <v>783</v>
      </c>
      <c r="W19" s="66">
        <f t="shared" si="16"/>
        <v>0</v>
      </c>
      <c r="X19" s="5">
        <f t="shared" si="17"/>
        <v>0</v>
      </c>
      <c r="Y19" s="10">
        <f>SUM(PRECIOS!C19)</f>
        <v>90</v>
      </c>
      <c r="Z19" s="11">
        <f>SUM(PRECIOS!D19)</f>
        <v>145</v>
      </c>
      <c r="AA19" s="20">
        <f t="shared" si="1"/>
        <v>1782</v>
      </c>
      <c r="AB19" s="12">
        <f t="shared" si="2"/>
        <v>2871</v>
      </c>
      <c r="AC19" s="13">
        <f t="shared" si="3"/>
        <v>1089</v>
      </c>
      <c r="AD19" s="3"/>
      <c r="AE19" s="17"/>
      <c r="AF19" s="3"/>
      <c r="AG19" s="3"/>
      <c r="AH19" s="2"/>
      <c r="AI19" s="2"/>
    </row>
    <row r="20" spans="1:35">
      <c r="A20" s="1">
        <v>16</v>
      </c>
      <c r="B20" s="89" t="str">
        <f>(PRECIOS!B20)</f>
        <v>PULPA DE RES MOLIDA</v>
      </c>
      <c r="C20" s="93">
        <f>SUM('ORDENES '!D47)</f>
        <v>5.85</v>
      </c>
      <c r="D20" s="94">
        <f>SUM('ORDENES '!E47)</f>
        <v>0.97</v>
      </c>
      <c r="E20" s="93">
        <f>SUM('ORDENES '!F47)</f>
        <v>7.5</v>
      </c>
      <c r="F20" s="94">
        <f>SUM('ORDENES '!G47)</f>
        <v>1.4</v>
      </c>
      <c r="G20" s="93">
        <f>SUM('ORDENES '!H47)</f>
        <v>1.02</v>
      </c>
      <c r="H20" s="94">
        <f>SUM('ORDENES '!I47)</f>
        <v>1.35</v>
      </c>
      <c r="I20" s="93">
        <f>SUM('ORDENES '!J47)</f>
        <v>9.4600000000000009</v>
      </c>
      <c r="J20" s="9">
        <f t="shared" si="4"/>
        <v>27.550000000000004</v>
      </c>
      <c r="K20" s="66">
        <f t="shared" si="0"/>
        <v>438.75</v>
      </c>
      <c r="L20" s="5">
        <f t="shared" si="5"/>
        <v>760.5</v>
      </c>
      <c r="M20" s="66">
        <f t="shared" si="6"/>
        <v>72.75</v>
      </c>
      <c r="N20" s="5">
        <f t="shared" si="7"/>
        <v>126.1</v>
      </c>
      <c r="O20" s="66">
        <f t="shared" si="8"/>
        <v>562.5</v>
      </c>
      <c r="P20" s="5">
        <f t="shared" si="9"/>
        <v>975</v>
      </c>
      <c r="Q20" s="66">
        <f t="shared" si="10"/>
        <v>105</v>
      </c>
      <c r="R20" s="5">
        <f t="shared" si="11"/>
        <v>182</v>
      </c>
      <c r="S20" s="66">
        <f t="shared" si="12"/>
        <v>76.5</v>
      </c>
      <c r="T20" s="5">
        <f t="shared" si="13"/>
        <v>132.6</v>
      </c>
      <c r="U20" s="66">
        <f t="shared" si="14"/>
        <v>101.25</v>
      </c>
      <c r="V20" s="5">
        <f t="shared" si="15"/>
        <v>175.5</v>
      </c>
      <c r="W20" s="66">
        <f t="shared" si="16"/>
        <v>709.50000000000011</v>
      </c>
      <c r="X20" s="5">
        <f t="shared" si="17"/>
        <v>1229.8000000000002</v>
      </c>
      <c r="Y20" s="10">
        <f>SUM(PRECIOS!C20)</f>
        <v>75</v>
      </c>
      <c r="Z20" s="11">
        <f>SUM(PRECIOS!D20)</f>
        <v>130</v>
      </c>
      <c r="AA20" s="20">
        <f t="shared" si="1"/>
        <v>2066.2500000000005</v>
      </c>
      <c r="AB20" s="12">
        <f t="shared" si="2"/>
        <v>3581.5000000000005</v>
      </c>
      <c r="AC20" s="13">
        <f t="shared" si="3"/>
        <v>1515.25</v>
      </c>
      <c r="AD20" s="3"/>
      <c r="AE20" s="17"/>
      <c r="AF20" s="3"/>
      <c r="AG20" s="3"/>
      <c r="AH20" s="2"/>
      <c r="AI20" s="2"/>
    </row>
    <row r="21" spans="1:35">
      <c r="A21" s="1">
        <v>17</v>
      </c>
      <c r="B21" s="89" t="str">
        <f>(PRECIOS!B21)</f>
        <v>HUEVO ENTERO</v>
      </c>
      <c r="C21" s="93">
        <f>SUM('ORDENES '!D48)</f>
        <v>14</v>
      </c>
      <c r="D21" s="94">
        <f>SUM('ORDENES '!E48)</f>
        <v>1</v>
      </c>
      <c r="E21" s="93">
        <f>SUM('ORDENES '!F48)</f>
        <v>17</v>
      </c>
      <c r="F21" s="94">
        <f>SUM('ORDENES '!G48)</f>
        <v>5</v>
      </c>
      <c r="G21" s="93">
        <f>SUM('ORDENES '!H48)</f>
        <v>16</v>
      </c>
      <c r="H21" s="94">
        <f>SUM('ORDENES '!I48)</f>
        <v>9</v>
      </c>
      <c r="I21" s="93">
        <f>SUM('ORDENES '!J48)</f>
        <v>4</v>
      </c>
      <c r="J21" s="9">
        <f t="shared" si="4"/>
        <v>66</v>
      </c>
      <c r="K21" s="66">
        <f t="shared" si="0"/>
        <v>373.8</v>
      </c>
      <c r="L21" s="5">
        <f t="shared" si="5"/>
        <v>532</v>
      </c>
      <c r="M21" s="66">
        <f t="shared" si="6"/>
        <v>26.7</v>
      </c>
      <c r="N21" s="5">
        <f t="shared" si="7"/>
        <v>38</v>
      </c>
      <c r="O21" s="66">
        <f t="shared" si="8"/>
        <v>453.9</v>
      </c>
      <c r="P21" s="5">
        <f t="shared" si="9"/>
        <v>646</v>
      </c>
      <c r="Q21" s="66">
        <f t="shared" si="10"/>
        <v>133.5</v>
      </c>
      <c r="R21" s="5">
        <f t="shared" si="11"/>
        <v>190</v>
      </c>
      <c r="S21" s="66">
        <f t="shared" si="12"/>
        <v>427.2</v>
      </c>
      <c r="T21" s="5">
        <f t="shared" si="13"/>
        <v>608</v>
      </c>
      <c r="U21" s="66">
        <f t="shared" si="14"/>
        <v>240.29999999999998</v>
      </c>
      <c r="V21" s="5">
        <f t="shared" si="15"/>
        <v>342</v>
      </c>
      <c r="W21" s="66">
        <f t="shared" si="16"/>
        <v>106.8</v>
      </c>
      <c r="X21" s="5">
        <f t="shared" si="17"/>
        <v>152</v>
      </c>
      <c r="Y21" s="10">
        <f>SUM(PRECIOS!C21)</f>
        <v>26.7</v>
      </c>
      <c r="Z21" s="11">
        <f>SUM(PRECIOS!D21)</f>
        <v>38</v>
      </c>
      <c r="AA21" s="20">
        <f t="shared" si="1"/>
        <v>1762.2</v>
      </c>
      <c r="AB21" s="12">
        <f t="shared" si="2"/>
        <v>2508</v>
      </c>
      <c r="AC21" s="13">
        <f t="shared" si="3"/>
        <v>745.8</v>
      </c>
      <c r="AD21" s="3"/>
      <c r="AE21" s="17"/>
      <c r="AF21" s="3"/>
      <c r="AG21" s="3"/>
      <c r="AH21" s="2"/>
      <c r="AI21" s="2"/>
    </row>
    <row r="22" spans="1:35" ht="22.5">
      <c r="A22" s="1">
        <v>18</v>
      </c>
      <c r="B22" s="89" t="str">
        <f>(PRECIOS!B22)</f>
        <v>JAMÓN DE CERDO FINO CON 16% DE PROTEÍNA</v>
      </c>
      <c r="C22" s="93">
        <f>SUM('ORDENES '!D49)</f>
        <v>3.6</v>
      </c>
      <c r="D22" s="94">
        <f>SUM('ORDENES '!E49)</f>
        <v>3.9</v>
      </c>
      <c r="E22" s="93">
        <f>SUM('ORDENES '!F49)</f>
        <v>0</v>
      </c>
      <c r="F22" s="94">
        <f>SUM('ORDENES '!G49)</f>
        <v>0</v>
      </c>
      <c r="G22" s="93">
        <f>SUM('ORDENES '!H49)</f>
        <v>0</v>
      </c>
      <c r="H22" s="94">
        <f>SUM('ORDENES '!I49)</f>
        <v>0</v>
      </c>
      <c r="I22" s="93">
        <f>SUM('ORDENES '!J49)</f>
        <v>4.8</v>
      </c>
      <c r="J22" s="9">
        <f t="shared" si="4"/>
        <v>12.3</v>
      </c>
      <c r="K22" s="66">
        <f t="shared" si="0"/>
        <v>288</v>
      </c>
      <c r="L22" s="5">
        <f t="shared" si="5"/>
        <v>648</v>
      </c>
      <c r="M22" s="66">
        <f t="shared" si="6"/>
        <v>312</v>
      </c>
      <c r="N22" s="5">
        <f t="shared" si="7"/>
        <v>702</v>
      </c>
      <c r="O22" s="66">
        <f t="shared" si="8"/>
        <v>0</v>
      </c>
      <c r="P22" s="5">
        <f t="shared" si="9"/>
        <v>0</v>
      </c>
      <c r="Q22" s="66">
        <f t="shared" si="10"/>
        <v>0</v>
      </c>
      <c r="R22" s="5">
        <f t="shared" si="11"/>
        <v>0</v>
      </c>
      <c r="S22" s="66">
        <f t="shared" si="12"/>
        <v>0</v>
      </c>
      <c r="T22" s="5">
        <f t="shared" si="13"/>
        <v>0</v>
      </c>
      <c r="U22" s="66">
        <f t="shared" si="14"/>
        <v>0</v>
      </c>
      <c r="V22" s="5">
        <f t="shared" si="15"/>
        <v>0</v>
      </c>
      <c r="W22" s="66">
        <f t="shared" si="16"/>
        <v>384</v>
      </c>
      <c r="X22" s="5">
        <f t="shared" si="17"/>
        <v>864</v>
      </c>
      <c r="Y22" s="10">
        <f>SUM(PRECIOS!C22)</f>
        <v>80</v>
      </c>
      <c r="Z22" s="11">
        <f>SUM(PRECIOS!D22)</f>
        <v>180</v>
      </c>
      <c r="AA22" s="20">
        <f t="shared" si="1"/>
        <v>984</v>
      </c>
      <c r="AB22" s="12">
        <f t="shared" si="2"/>
        <v>2214</v>
      </c>
      <c r="AC22" s="13">
        <f t="shared" si="3"/>
        <v>1230</v>
      </c>
      <c r="AD22" s="3"/>
      <c r="AE22" s="17"/>
      <c r="AF22" s="3"/>
      <c r="AG22" s="3"/>
      <c r="AH22" s="2"/>
      <c r="AI22" s="2"/>
    </row>
    <row r="23" spans="1:35">
      <c r="A23" s="1">
        <v>19</v>
      </c>
      <c r="B23" s="89" t="str">
        <f>(PRECIOS!B23)</f>
        <v>JAMÓN DE PAVO</v>
      </c>
      <c r="C23" s="93">
        <f>SUM('ORDENES '!D50)</f>
        <v>0.9</v>
      </c>
      <c r="D23" s="94">
        <f>SUM('ORDENES '!E50)</f>
        <v>0</v>
      </c>
      <c r="E23" s="93">
        <f>SUM('ORDENES '!F50)</f>
        <v>0.21</v>
      </c>
      <c r="F23" s="94">
        <f>SUM('ORDENES '!G50)</f>
        <v>3.6</v>
      </c>
      <c r="G23" s="93">
        <f>SUM('ORDENES '!H50)</f>
        <v>1.35</v>
      </c>
      <c r="H23" s="94">
        <f>SUM('ORDENES '!I50)</f>
        <v>3</v>
      </c>
      <c r="I23" s="93">
        <f>SUM('ORDENES '!J50)</f>
        <v>2.7</v>
      </c>
      <c r="J23" s="9">
        <f t="shared" si="4"/>
        <v>11.760000000000002</v>
      </c>
      <c r="K23" s="66">
        <f t="shared" si="0"/>
        <v>54</v>
      </c>
      <c r="L23" s="5">
        <f t="shared" si="5"/>
        <v>108</v>
      </c>
      <c r="M23" s="66">
        <f t="shared" si="6"/>
        <v>0</v>
      </c>
      <c r="N23" s="5">
        <f t="shared" si="7"/>
        <v>0</v>
      </c>
      <c r="O23" s="66">
        <f t="shared" si="8"/>
        <v>12.6</v>
      </c>
      <c r="P23" s="5">
        <f t="shared" si="9"/>
        <v>25.2</v>
      </c>
      <c r="Q23" s="66">
        <f t="shared" si="10"/>
        <v>216</v>
      </c>
      <c r="R23" s="5">
        <f t="shared" si="11"/>
        <v>432</v>
      </c>
      <c r="S23" s="66">
        <f t="shared" si="12"/>
        <v>81</v>
      </c>
      <c r="T23" s="5">
        <f t="shared" si="13"/>
        <v>162</v>
      </c>
      <c r="U23" s="66">
        <f t="shared" si="14"/>
        <v>180</v>
      </c>
      <c r="V23" s="5">
        <f t="shared" si="15"/>
        <v>360</v>
      </c>
      <c r="W23" s="66">
        <f t="shared" si="16"/>
        <v>162</v>
      </c>
      <c r="X23" s="5">
        <f t="shared" si="17"/>
        <v>324</v>
      </c>
      <c r="Y23" s="10">
        <f>SUM(PRECIOS!C23)</f>
        <v>60</v>
      </c>
      <c r="Z23" s="11">
        <f>SUM(PRECIOS!D23)</f>
        <v>120</v>
      </c>
      <c r="AA23" s="20">
        <f t="shared" si="1"/>
        <v>705.60000000000014</v>
      </c>
      <c r="AB23" s="12">
        <f t="shared" si="2"/>
        <v>1411.2000000000003</v>
      </c>
      <c r="AC23" s="13">
        <f t="shared" si="3"/>
        <v>705.60000000000014</v>
      </c>
      <c r="AD23" s="3"/>
      <c r="AE23" s="17"/>
      <c r="AF23" s="3"/>
      <c r="AG23" s="3"/>
      <c r="AH23" s="2"/>
      <c r="AI23" s="2"/>
    </row>
    <row r="24" spans="1:35">
      <c r="A24" s="1">
        <v>20</v>
      </c>
      <c r="B24" s="89" t="str">
        <f>(PRECIOS!B24)</f>
        <v>JAMÓN DE PECHUGA DE PAVO</v>
      </c>
      <c r="C24" s="93">
        <f>SUM('ORDENES '!D51)</f>
        <v>0.9</v>
      </c>
      <c r="D24" s="94">
        <f>SUM('ORDENES '!E51)</f>
        <v>0</v>
      </c>
      <c r="E24" s="93">
        <f>SUM('ORDENES '!F51)</f>
        <v>0</v>
      </c>
      <c r="F24" s="94">
        <f>SUM('ORDENES '!G51)</f>
        <v>0</v>
      </c>
      <c r="G24" s="93">
        <f>SUM('ORDENES '!H51)</f>
        <v>0</v>
      </c>
      <c r="H24" s="94">
        <f>SUM('ORDENES '!I51)</f>
        <v>0</v>
      </c>
      <c r="I24" s="93">
        <f>SUM('ORDENES '!J51)</f>
        <v>0</v>
      </c>
      <c r="J24" s="9">
        <f t="shared" si="4"/>
        <v>0.9</v>
      </c>
      <c r="K24" s="66">
        <f t="shared" si="0"/>
        <v>54</v>
      </c>
      <c r="L24" s="5">
        <f t="shared" si="5"/>
        <v>126</v>
      </c>
      <c r="M24" s="66">
        <f t="shared" si="6"/>
        <v>0</v>
      </c>
      <c r="N24" s="5">
        <f t="shared" si="7"/>
        <v>0</v>
      </c>
      <c r="O24" s="66">
        <f t="shared" si="8"/>
        <v>0</v>
      </c>
      <c r="P24" s="5">
        <f t="shared" si="9"/>
        <v>0</v>
      </c>
      <c r="Q24" s="66">
        <f t="shared" si="10"/>
        <v>0</v>
      </c>
      <c r="R24" s="5">
        <f t="shared" si="11"/>
        <v>0</v>
      </c>
      <c r="S24" s="66">
        <f t="shared" si="12"/>
        <v>0</v>
      </c>
      <c r="T24" s="5">
        <f t="shared" si="13"/>
        <v>0</v>
      </c>
      <c r="U24" s="66">
        <f t="shared" si="14"/>
        <v>0</v>
      </c>
      <c r="V24" s="5">
        <f t="shared" si="15"/>
        <v>0</v>
      </c>
      <c r="W24" s="66">
        <f t="shared" si="16"/>
        <v>0</v>
      </c>
      <c r="X24" s="5">
        <f t="shared" si="17"/>
        <v>0</v>
      </c>
      <c r="Y24" s="10">
        <f>SUM(PRECIOS!C24)</f>
        <v>60</v>
      </c>
      <c r="Z24" s="11">
        <f>SUM(PRECIOS!D24)</f>
        <v>140</v>
      </c>
      <c r="AA24" s="20">
        <f t="shared" si="1"/>
        <v>54</v>
      </c>
      <c r="AB24" s="12">
        <f t="shared" si="2"/>
        <v>126</v>
      </c>
      <c r="AC24" s="13">
        <f t="shared" si="3"/>
        <v>72</v>
      </c>
      <c r="AD24" s="3"/>
      <c r="AE24" s="17"/>
      <c r="AF24" s="3"/>
      <c r="AG24" s="3"/>
      <c r="AH24" s="2"/>
      <c r="AI24" s="2"/>
    </row>
    <row r="25" spans="1:35">
      <c r="A25" s="1">
        <v>21</v>
      </c>
      <c r="B25" s="89" t="str">
        <f>(PRECIOS!B25)</f>
        <v>MORTADELA</v>
      </c>
      <c r="C25" s="93">
        <f>SUM('ORDENES '!D52)</f>
        <v>0</v>
      </c>
      <c r="D25" s="94">
        <f>SUM('ORDENES '!E52)</f>
        <v>0</v>
      </c>
      <c r="E25" s="93">
        <f>SUM('ORDENES '!F52)</f>
        <v>0</v>
      </c>
      <c r="F25" s="94">
        <f>SUM('ORDENES '!G52)</f>
        <v>0</v>
      </c>
      <c r="G25" s="93">
        <f>SUM('ORDENES '!H52)</f>
        <v>0</v>
      </c>
      <c r="H25" s="94">
        <f>SUM('ORDENES '!I52)</f>
        <v>0</v>
      </c>
      <c r="I25" s="93">
        <f>SUM('ORDENES '!J52)</f>
        <v>0</v>
      </c>
      <c r="J25" s="9">
        <f t="shared" si="4"/>
        <v>0</v>
      </c>
      <c r="K25" s="66">
        <f t="shared" si="0"/>
        <v>0</v>
      </c>
      <c r="L25" s="5">
        <f t="shared" si="5"/>
        <v>0</v>
      </c>
      <c r="M25" s="66">
        <f t="shared" si="6"/>
        <v>0</v>
      </c>
      <c r="N25" s="5">
        <f t="shared" si="7"/>
        <v>0</v>
      </c>
      <c r="O25" s="66">
        <f t="shared" si="8"/>
        <v>0</v>
      </c>
      <c r="P25" s="5">
        <f t="shared" si="9"/>
        <v>0</v>
      </c>
      <c r="Q25" s="66">
        <f t="shared" si="10"/>
        <v>0</v>
      </c>
      <c r="R25" s="5">
        <f t="shared" si="11"/>
        <v>0</v>
      </c>
      <c r="S25" s="66">
        <f t="shared" si="12"/>
        <v>0</v>
      </c>
      <c r="T25" s="5">
        <f t="shared" si="13"/>
        <v>0</v>
      </c>
      <c r="U25" s="66">
        <f t="shared" si="14"/>
        <v>0</v>
      </c>
      <c r="V25" s="5">
        <f t="shared" si="15"/>
        <v>0</v>
      </c>
      <c r="W25" s="66">
        <f t="shared" si="16"/>
        <v>0</v>
      </c>
      <c r="X25" s="5">
        <f t="shared" si="17"/>
        <v>0</v>
      </c>
      <c r="Y25" s="10">
        <f>SUM(PRECIOS!C25)</f>
        <v>28</v>
      </c>
      <c r="Z25" s="11">
        <f>SUM(PRECIOS!D25)</f>
        <v>40</v>
      </c>
      <c r="AA25" s="20">
        <f t="shared" si="1"/>
        <v>0</v>
      </c>
      <c r="AB25" s="12">
        <f t="shared" si="2"/>
        <v>0</v>
      </c>
      <c r="AC25" s="13">
        <f t="shared" si="3"/>
        <v>0</v>
      </c>
      <c r="AD25" s="3"/>
      <c r="AE25" s="17"/>
      <c r="AF25" s="3"/>
      <c r="AG25" s="3"/>
      <c r="AH25" s="2"/>
      <c r="AI25" s="2"/>
    </row>
    <row r="26" spans="1:35">
      <c r="A26" s="1">
        <v>22</v>
      </c>
      <c r="B26" s="89" t="str">
        <f>(PRECIOS!B26)</f>
        <v>SALCHICHA DE CERDO VIENA</v>
      </c>
      <c r="C26" s="93">
        <f>SUM('ORDENES '!D53)</f>
        <v>0</v>
      </c>
      <c r="D26" s="94">
        <f>SUM('ORDENES '!E53)</f>
        <v>0</v>
      </c>
      <c r="E26" s="93">
        <f>SUM('ORDENES '!F53)</f>
        <v>1.8</v>
      </c>
      <c r="F26" s="94">
        <f>SUM('ORDENES '!G53)</f>
        <v>0</v>
      </c>
      <c r="G26" s="93">
        <f>SUM('ORDENES '!H53)</f>
        <v>1.75</v>
      </c>
      <c r="H26" s="94">
        <f>SUM('ORDENES '!I53)</f>
        <v>0</v>
      </c>
      <c r="I26" s="93">
        <f>SUM('ORDENES '!J53)</f>
        <v>0</v>
      </c>
      <c r="J26" s="9">
        <f t="shared" si="4"/>
        <v>3.55</v>
      </c>
      <c r="K26" s="66">
        <f t="shared" si="0"/>
        <v>0</v>
      </c>
      <c r="L26" s="5">
        <f t="shared" si="5"/>
        <v>0</v>
      </c>
      <c r="M26" s="66">
        <f t="shared" si="6"/>
        <v>0</v>
      </c>
      <c r="N26" s="5">
        <f t="shared" si="7"/>
        <v>0</v>
      </c>
      <c r="O26" s="66">
        <f t="shared" si="8"/>
        <v>57.6</v>
      </c>
      <c r="P26" s="5">
        <f t="shared" si="9"/>
        <v>72</v>
      </c>
      <c r="Q26" s="66">
        <f t="shared" si="10"/>
        <v>0</v>
      </c>
      <c r="R26" s="5">
        <f t="shared" si="11"/>
        <v>0</v>
      </c>
      <c r="S26" s="66">
        <f t="shared" si="12"/>
        <v>56</v>
      </c>
      <c r="T26" s="5">
        <f t="shared" si="13"/>
        <v>70</v>
      </c>
      <c r="U26" s="66">
        <f t="shared" si="14"/>
        <v>0</v>
      </c>
      <c r="V26" s="5">
        <f t="shared" si="15"/>
        <v>0</v>
      </c>
      <c r="W26" s="66">
        <f t="shared" si="16"/>
        <v>0</v>
      </c>
      <c r="X26" s="5">
        <f t="shared" si="17"/>
        <v>0</v>
      </c>
      <c r="Y26" s="10">
        <f>SUM(PRECIOS!C26)</f>
        <v>32</v>
      </c>
      <c r="Z26" s="11">
        <f>SUM(PRECIOS!D26)</f>
        <v>40</v>
      </c>
      <c r="AA26" s="20">
        <f t="shared" si="1"/>
        <v>113.6</v>
      </c>
      <c r="AB26" s="12">
        <f t="shared" si="2"/>
        <v>142</v>
      </c>
      <c r="AC26" s="13">
        <f t="shared" si="3"/>
        <v>28.400000000000006</v>
      </c>
      <c r="AD26" s="3"/>
      <c r="AE26" s="17"/>
      <c r="AF26" s="3"/>
      <c r="AG26" s="3"/>
      <c r="AH26" s="2"/>
      <c r="AI26" s="2"/>
    </row>
    <row r="27" spans="1:35">
      <c r="A27" s="1">
        <v>23</v>
      </c>
      <c r="B27" s="89" t="str">
        <f>(PRECIOS!B27)</f>
        <v>SALCHICHA DE PAVO VIENA</v>
      </c>
      <c r="C27" s="93">
        <f>SUM('ORDENES '!D54)</f>
        <v>0.9</v>
      </c>
      <c r="D27" s="94">
        <f>SUM('ORDENES '!E54)</f>
        <v>0</v>
      </c>
      <c r="E27" s="93">
        <f>SUM('ORDENES '!F54)</f>
        <v>4.2</v>
      </c>
      <c r="F27" s="94">
        <f>SUM('ORDENES '!G54)</f>
        <v>0</v>
      </c>
      <c r="G27" s="93">
        <f>SUM('ORDENES '!H54)</f>
        <v>0</v>
      </c>
      <c r="H27" s="94">
        <f>SUM('ORDENES '!I54)</f>
        <v>0</v>
      </c>
      <c r="I27" s="93">
        <f>SUM('ORDENES '!J54)</f>
        <v>0</v>
      </c>
      <c r="J27" s="9">
        <f t="shared" si="4"/>
        <v>5.1000000000000005</v>
      </c>
      <c r="K27" s="66">
        <f t="shared" ref="K27:K28" si="35">SUM(C27*Y27)</f>
        <v>34.200000000000003</v>
      </c>
      <c r="L27" s="5">
        <f t="shared" si="5"/>
        <v>45</v>
      </c>
      <c r="M27" s="66">
        <f t="shared" si="6"/>
        <v>0</v>
      </c>
      <c r="N27" s="5">
        <f t="shared" si="7"/>
        <v>0</v>
      </c>
      <c r="O27" s="66">
        <f t="shared" si="8"/>
        <v>159.6</v>
      </c>
      <c r="P27" s="5">
        <f t="shared" si="9"/>
        <v>210</v>
      </c>
      <c r="Q27" s="66">
        <f t="shared" si="10"/>
        <v>0</v>
      </c>
      <c r="R27" s="5">
        <f t="shared" si="11"/>
        <v>0</v>
      </c>
      <c r="S27" s="66">
        <f t="shared" si="12"/>
        <v>0</v>
      </c>
      <c r="T27" s="5">
        <f t="shared" si="13"/>
        <v>0</v>
      </c>
      <c r="U27" s="66">
        <f t="shared" si="14"/>
        <v>0</v>
      </c>
      <c r="V27" s="5">
        <f t="shared" si="15"/>
        <v>0</v>
      </c>
      <c r="W27" s="66">
        <f t="shared" si="16"/>
        <v>0</v>
      </c>
      <c r="X27" s="5">
        <f t="shared" si="17"/>
        <v>0</v>
      </c>
      <c r="Y27" s="10">
        <f>SUM(PRECIOS!C27)</f>
        <v>38</v>
      </c>
      <c r="Z27" s="11">
        <f>SUM(PRECIOS!D27)</f>
        <v>50</v>
      </c>
      <c r="AA27" s="20">
        <f t="shared" si="1"/>
        <v>193.8</v>
      </c>
      <c r="AB27" s="12">
        <f t="shared" si="2"/>
        <v>255.00000000000003</v>
      </c>
      <c r="AC27" s="13">
        <f t="shared" si="3"/>
        <v>61.200000000000017</v>
      </c>
      <c r="AD27" s="3"/>
      <c r="AE27" s="17"/>
      <c r="AF27" s="3"/>
      <c r="AG27" s="3"/>
      <c r="AH27" s="2"/>
      <c r="AI27" s="2"/>
    </row>
    <row r="28" spans="1:35">
      <c r="A28" s="1">
        <v>24</v>
      </c>
      <c r="B28" s="89" t="str">
        <f>(PRECIOS!B28)</f>
        <v>TOCINO</v>
      </c>
      <c r="C28" s="93">
        <f>SUM('ORDENES '!D55)</f>
        <v>0.4</v>
      </c>
      <c r="D28" s="94">
        <f>SUM('ORDENES '!E55)</f>
        <v>0</v>
      </c>
      <c r="E28" s="93">
        <f>SUM('ORDENES '!F55)</f>
        <v>0.6</v>
      </c>
      <c r="F28" s="94">
        <f>SUM('ORDENES '!G55)</f>
        <v>0</v>
      </c>
      <c r="G28" s="93">
        <f>SUM('ORDENES '!H55)</f>
        <v>0</v>
      </c>
      <c r="H28" s="94">
        <f>SUM('ORDENES '!I55)</f>
        <v>0.4</v>
      </c>
      <c r="I28" s="93">
        <f>SUM('ORDENES '!J55)</f>
        <v>0</v>
      </c>
      <c r="J28" s="9">
        <f t="shared" si="4"/>
        <v>1.4</v>
      </c>
      <c r="K28" s="66">
        <f t="shared" si="35"/>
        <v>36</v>
      </c>
      <c r="L28" s="5">
        <f t="shared" si="5"/>
        <v>56</v>
      </c>
      <c r="M28" s="66">
        <f t="shared" si="6"/>
        <v>0</v>
      </c>
      <c r="N28" s="5">
        <f t="shared" si="7"/>
        <v>0</v>
      </c>
      <c r="O28" s="66">
        <f t="shared" si="8"/>
        <v>54</v>
      </c>
      <c r="P28" s="5">
        <f t="shared" si="9"/>
        <v>84</v>
      </c>
      <c r="Q28" s="66">
        <f t="shared" si="10"/>
        <v>0</v>
      </c>
      <c r="R28" s="5">
        <f t="shared" si="11"/>
        <v>0</v>
      </c>
      <c r="S28" s="66">
        <f t="shared" si="12"/>
        <v>0</v>
      </c>
      <c r="T28" s="5">
        <f t="shared" si="13"/>
        <v>0</v>
      </c>
      <c r="U28" s="66">
        <f t="shared" si="14"/>
        <v>36</v>
      </c>
      <c r="V28" s="5">
        <f t="shared" si="15"/>
        <v>56</v>
      </c>
      <c r="W28" s="66">
        <f t="shared" si="16"/>
        <v>0</v>
      </c>
      <c r="X28" s="5">
        <f t="shared" si="17"/>
        <v>0</v>
      </c>
      <c r="Y28" s="10">
        <f>SUM(PRECIOS!C28)</f>
        <v>90</v>
      </c>
      <c r="Z28" s="11">
        <f>SUM(PRECIOS!D28)</f>
        <v>140</v>
      </c>
      <c r="AA28" s="20">
        <f t="shared" si="1"/>
        <v>125.99999999999999</v>
      </c>
      <c r="AB28" s="12">
        <f t="shared" si="2"/>
        <v>196</v>
      </c>
      <c r="AC28" s="13">
        <f t="shared" si="3"/>
        <v>70.000000000000014</v>
      </c>
      <c r="AD28" s="3"/>
      <c r="AE28" s="17"/>
      <c r="AF28" s="3"/>
      <c r="AG28" s="3"/>
      <c r="AH28" s="2"/>
      <c r="AI28" s="2"/>
    </row>
    <row r="29" spans="1:35">
      <c r="A29" s="73"/>
      <c r="B29" s="68"/>
      <c r="C29" s="3"/>
      <c r="D29" s="3"/>
      <c r="E29" s="3"/>
      <c r="F29" s="3"/>
      <c r="G29" s="3"/>
      <c r="H29" s="3"/>
      <c r="I29" s="3"/>
      <c r="J29" s="19">
        <f t="shared" ref="J29:Q29" si="36">SUM(J4:J28)</f>
        <v>390.89</v>
      </c>
      <c r="K29" s="20">
        <f t="shared" si="36"/>
        <v>3235.56</v>
      </c>
      <c r="L29" s="15">
        <f t="shared" si="36"/>
        <v>5814.75</v>
      </c>
      <c r="M29" s="20">
        <f t="shared" si="36"/>
        <v>3810.0599999999995</v>
      </c>
      <c r="N29" s="15">
        <f t="shared" si="36"/>
        <v>6455.85</v>
      </c>
      <c r="O29" s="20">
        <f t="shared" si="36"/>
        <v>3481.5059999999999</v>
      </c>
      <c r="P29" s="15">
        <f t="shared" si="36"/>
        <v>5265.7</v>
      </c>
      <c r="Q29" s="20">
        <f t="shared" si="36"/>
        <v>4228.92</v>
      </c>
      <c r="R29" s="15">
        <f t="shared" ref="R29:X29" si="37">SUM(R4:R28)</f>
        <v>6521.25</v>
      </c>
      <c r="S29" s="20">
        <f t="shared" si="37"/>
        <v>4186.28</v>
      </c>
      <c r="T29" s="15">
        <f t="shared" si="37"/>
        <v>6801.6</v>
      </c>
      <c r="U29" s="20">
        <f t="shared" si="37"/>
        <v>2937.2040000000002</v>
      </c>
      <c r="V29" s="15">
        <f t="shared" si="37"/>
        <v>4945.25</v>
      </c>
      <c r="W29" s="20">
        <f t="shared" si="37"/>
        <v>3390.1440000000002</v>
      </c>
      <c r="X29" s="15">
        <f t="shared" si="37"/>
        <v>6631.8</v>
      </c>
      <c r="Y29" s="18"/>
      <c r="Z29" s="18"/>
      <c r="AA29" s="14">
        <f>SUM(K29,M29,O29,Q29,S29,U29,W29)</f>
        <v>25269.673999999999</v>
      </c>
      <c r="AB29" s="76">
        <f>SUM(L29,N29,P29,R29,T29,V29,X29)</f>
        <v>42436.200000000004</v>
      </c>
      <c r="AC29" s="76">
        <f>SUM(AB29-AA29)</f>
        <v>17166.526000000005</v>
      </c>
      <c r="AD29" s="3"/>
      <c r="AE29" s="17"/>
      <c r="AF29" s="3"/>
      <c r="AG29" s="3"/>
      <c r="AH29" s="2"/>
      <c r="AI29" s="2"/>
    </row>
    <row r="30" spans="1:35">
      <c r="A30" s="73"/>
      <c r="B30" s="68"/>
      <c r="C30" s="3"/>
      <c r="D30" s="3"/>
      <c r="E30" s="3"/>
      <c r="F30" s="3"/>
      <c r="G30" s="3"/>
      <c r="H30" s="3"/>
      <c r="I30" s="3"/>
      <c r="J30" s="3"/>
      <c r="K30" s="74"/>
      <c r="L30" s="18"/>
      <c r="M30" s="74"/>
      <c r="N30" s="18"/>
      <c r="O30" s="74"/>
      <c r="P30" s="18"/>
      <c r="Q30" s="74"/>
      <c r="R30" s="18"/>
      <c r="S30" s="74"/>
      <c r="T30" s="18"/>
      <c r="U30" s="74"/>
      <c r="V30" s="18"/>
      <c r="W30" s="74"/>
      <c r="X30" s="18"/>
      <c r="Y30" s="18"/>
      <c r="Z30" s="18"/>
      <c r="AA30" s="18"/>
      <c r="AB30" s="18"/>
      <c r="AC30" s="18"/>
      <c r="AD30" s="3"/>
      <c r="AE30" s="17"/>
      <c r="AF30" s="3"/>
      <c r="AG30" s="3"/>
      <c r="AH30" s="2"/>
      <c r="AI30" s="2"/>
    </row>
    <row r="31" spans="1:35">
      <c r="A31" s="73"/>
      <c r="B31" s="68"/>
      <c r="C31" s="3"/>
      <c r="D31" s="3"/>
      <c r="E31" s="3"/>
      <c r="F31" s="3"/>
      <c r="G31" s="3"/>
      <c r="H31" s="3"/>
      <c r="I31" s="3"/>
      <c r="J31" s="3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3"/>
      <c r="AE31" s="17"/>
      <c r="AF31" s="3"/>
      <c r="AG31" s="3"/>
      <c r="AH31" s="2"/>
      <c r="AI31" s="2"/>
    </row>
    <row r="32" spans="1:35">
      <c r="A32" s="73"/>
      <c r="B32" s="68"/>
      <c r="C32" s="3"/>
      <c r="D32" s="3"/>
      <c r="E32" s="3"/>
      <c r="F32" s="3"/>
      <c r="G32" s="3"/>
      <c r="H32" s="3"/>
      <c r="I32" s="3"/>
      <c r="J32" s="3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3"/>
      <c r="AE32" s="17"/>
      <c r="AF32" s="3"/>
      <c r="AG32" s="3"/>
      <c r="AH32" s="2"/>
      <c r="AI32" s="2"/>
    </row>
    <row r="33" spans="1:35">
      <c r="A33" s="73"/>
      <c r="B33" s="69"/>
      <c r="C33" s="3"/>
      <c r="D33" s="3"/>
      <c r="E33" s="3"/>
      <c r="F33" s="3"/>
      <c r="G33" s="3"/>
      <c r="H33" s="3"/>
      <c r="I33" s="3"/>
      <c r="J33" s="3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3"/>
      <c r="AE33" s="17"/>
      <c r="AF33" s="3"/>
      <c r="AG33" s="3"/>
      <c r="AH33" s="2"/>
      <c r="AI33" s="2"/>
    </row>
    <row r="34" spans="1:35">
      <c r="A34" s="73"/>
      <c r="B34" s="69"/>
      <c r="C34" s="3"/>
      <c r="D34" s="3"/>
      <c r="E34" s="3"/>
      <c r="F34" s="3"/>
      <c r="G34" s="3"/>
      <c r="H34" s="3"/>
      <c r="I34" s="3"/>
      <c r="J34" s="3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3"/>
      <c r="AE34" s="17"/>
      <c r="AF34" s="3"/>
      <c r="AG34" s="3"/>
      <c r="AH34" s="2"/>
      <c r="AI34" s="2"/>
    </row>
    <row r="35" spans="1:35">
      <c r="A35" s="73"/>
      <c r="B35" s="68"/>
      <c r="C35" s="3"/>
      <c r="D35" s="3"/>
      <c r="E35" s="3"/>
      <c r="F35" s="3"/>
      <c r="G35" s="3"/>
      <c r="H35" s="3"/>
      <c r="I35" s="3"/>
      <c r="J35" s="3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3"/>
      <c r="AE35" s="17"/>
      <c r="AF35" s="3"/>
      <c r="AG35" s="3"/>
      <c r="AH35" s="2"/>
      <c r="AI35" s="2"/>
    </row>
    <row r="36" spans="1:35">
      <c r="A36" s="73"/>
      <c r="B36" s="68"/>
      <c r="C36" s="3"/>
      <c r="D36" s="3"/>
      <c r="E36" s="3"/>
      <c r="F36" s="3"/>
      <c r="G36" s="3"/>
      <c r="H36" s="3"/>
      <c r="I36" s="3"/>
      <c r="J36" s="3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3"/>
      <c r="AE36" s="17"/>
      <c r="AF36" s="3"/>
      <c r="AG36" s="3"/>
      <c r="AH36" s="2"/>
      <c r="AI36" s="2"/>
    </row>
    <row r="37" spans="1:35">
      <c r="A37" s="73"/>
      <c r="B37" s="68"/>
      <c r="C37" s="3"/>
      <c r="D37" s="3"/>
      <c r="E37" s="3"/>
      <c r="F37" s="3"/>
      <c r="G37" s="3"/>
      <c r="H37" s="3"/>
      <c r="I37" s="3"/>
      <c r="J37" s="3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3"/>
      <c r="AE37" s="17"/>
      <c r="AF37" s="3"/>
      <c r="AG37" s="3"/>
      <c r="AH37" s="2"/>
      <c r="AI37" s="2"/>
    </row>
    <row r="38" spans="1:35">
      <c r="A38" s="73"/>
      <c r="B38" s="68"/>
      <c r="C38" s="3"/>
      <c r="D38" s="3"/>
      <c r="E38" s="3"/>
      <c r="F38" s="3"/>
      <c r="G38" s="3"/>
      <c r="H38" s="3"/>
      <c r="I38" s="3"/>
      <c r="J38" s="3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3"/>
      <c r="AE38" s="17"/>
      <c r="AF38" s="3"/>
      <c r="AG38" s="3"/>
      <c r="AH38" s="2"/>
      <c r="AI38" s="2"/>
    </row>
    <row r="39" spans="1:35">
      <c r="A39" s="73"/>
      <c r="B39" s="68"/>
      <c r="C39" s="3"/>
      <c r="D39" s="3"/>
      <c r="E39" s="3"/>
      <c r="F39" s="3"/>
      <c r="G39" s="3"/>
      <c r="H39" s="3"/>
      <c r="I39" s="3"/>
      <c r="J39" s="3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3"/>
      <c r="AE39" s="17"/>
      <c r="AF39" s="3"/>
      <c r="AG39" s="3"/>
      <c r="AH39" s="2"/>
      <c r="AI39" s="2"/>
    </row>
    <row r="40" spans="1:35">
      <c r="A40" s="73"/>
      <c r="B40" s="68"/>
      <c r="C40" s="3"/>
      <c r="D40" s="3"/>
      <c r="E40" s="3"/>
      <c r="F40" s="3"/>
      <c r="G40" s="3"/>
      <c r="H40" s="3"/>
      <c r="I40" s="3"/>
      <c r="J40" s="3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3"/>
      <c r="AE40" s="17"/>
      <c r="AF40" s="3"/>
      <c r="AG40" s="3"/>
      <c r="AH40" s="2"/>
      <c r="AI40" s="2"/>
    </row>
    <row r="41" spans="1:35">
      <c r="A41" s="73"/>
      <c r="B41" s="68"/>
      <c r="C41" s="3"/>
      <c r="D41" s="3"/>
      <c r="E41" s="3"/>
      <c r="F41" s="3"/>
      <c r="G41" s="3"/>
      <c r="H41" s="3"/>
      <c r="I41" s="3"/>
      <c r="J41" s="3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3"/>
      <c r="AE41" s="17"/>
      <c r="AF41" s="3"/>
      <c r="AG41" s="3"/>
      <c r="AH41" s="2"/>
      <c r="AI41" s="2"/>
    </row>
    <row r="42" spans="1:35">
      <c r="A42" s="73"/>
      <c r="B42" s="68"/>
      <c r="C42" s="3"/>
      <c r="D42" s="3"/>
      <c r="E42" s="3"/>
      <c r="F42" s="3"/>
      <c r="G42" s="3"/>
      <c r="H42" s="3"/>
      <c r="I42" s="3"/>
      <c r="J42" s="3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3"/>
      <c r="AE42" s="17"/>
      <c r="AF42" s="3"/>
      <c r="AG42" s="3"/>
      <c r="AH42" s="2"/>
      <c r="AI42" s="2"/>
    </row>
    <row r="43" spans="1:35">
      <c r="A43" s="73"/>
      <c r="B43" s="68"/>
      <c r="C43" s="3"/>
      <c r="D43" s="3"/>
      <c r="E43" s="3"/>
      <c r="F43" s="3"/>
      <c r="G43" s="3"/>
      <c r="H43" s="3"/>
      <c r="I43" s="3"/>
      <c r="J43" s="3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3"/>
      <c r="AE43" s="17"/>
      <c r="AF43" s="3"/>
      <c r="AG43" s="3"/>
      <c r="AH43" s="2"/>
      <c r="AI43" s="2"/>
    </row>
    <row r="44" spans="1:35">
      <c r="A44" s="73"/>
      <c r="B44" s="68"/>
      <c r="C44" s="3"/>
      <c r="D44" s="3"/>
      <c r="E44" s="3"/>
      <c r="F44" s="3"/>
      <c r="G44" s="3"/>
      <c r="H44" s="3"/>
      <c r="I44" s="3"/>
      <c r="J44" s="3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3"/>
      <c r="AE44" s="17"/>
      <c r="AF44" s="3"/>
      <c r="AG44" s="3"/>
      <c r="AH44" s="2"/>
      <c r="AI44" s="2"/>
    </row>
    <row r="45" spans="1:35">
      <c r="A45" s="73"/>
      <c r="B45" s="68"/>
      <c r="C45" s="3"/>
      <c r="D45" s="3"/>
      <c r="E45" s="3"/>
      <c r="F45" s="3"/>
      <c r="G45" s="3"/>
      <c r="H45" s="3"/>
      <c r="I45" s="3"/>
      <c r="J45" s="3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3"/>
      <c r="AE45" s="17"/>
      <c r="AF45" s="3"/>
      <c r="AG45" s="3"/>
      <c r="AH45" s="2"/>
      <c r="AI45" s="2"/>
    </row>
    <row r="46" spans="1:35">
      <c r="A46" s="73"/>
      <c r="B46" s="68"/>
      <c r="C46" s="3"/>
      <c r="D46" s="3"/>
      <c r="E46" s="3"/>
      <c r="F46" s="3"/>
      <c r="G46" s="3"/>
      <c r="H46" s="3"/>
      <c r="I46" s="3"/>
      <c r="J46" s="3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3"/>
      <c r="AE46" s="17"/>
      <c r="AF46" s="3"/>
      <c r="AG46" s="3"/>
      <c r="AH46" s="2"/>
      <c r="AI46" s="2"/>
    </row>
    <row r="47" spans="1:35">
      <c r="A47" s="73"/>
      <c r="B47" s="69"/>
      <c r="C47" s="3"/>
      <c r="D47" s="3"/>
      <c r="E47" s="3"/>
      <c r="F47" s="3"/>
      <c r="G47" s="3"/>
      <c r="H47" s="3"/>
      <c r="I47" s="3"/>
      <c r="J47" s="3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3"/>
      <c r="AE47" s="3"/>
      <c r="AF47" s="3"/>
      <c r="AG47" s="3"/>
      <c r="AH47" s="2"/>
      <c r="AI47" s="2"/>
    </row>
    <row r="48" spans="1:35">
      <c r="A48" s="73"/>
      <c r="B48" s="69"/>
      <c r="C48" s="3"/>
      <c r="D48" s="3"/>
      <c r="E48" s="3"/>
      <c r="F48" s="3"/>
      <c r="G48" s="3"/>
      <c r="H48" s="3"/>
      <c r="I48" s="3"/>
      <c r="J48" s="3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3"/>
      <c r="AE48" s="16"/>
      <c r="AF48" s="3"/>
      <c r="AG48" s="3"/>
      <c r="AH48" s="2"/>
      <c r="AI48" s="2"/>
    </row>
    <row r="49" spans="1:35">
      <c r="A49" s="73"/>
      <c r="B49" s="68"/>
      <c r="C49" s="3"/>
      <c r="D49" s="3"/>
      <c r="E49" s="3"/>
      <c r="F49" s="3"/>
      <c r="G49" s="3"/>
      <c r="H49" s="3"/>
      <c r="I49" s="3"/>
      <c r="J49" s="3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3"/>
      <c r="AE49" s="16"/>
      <c r="AF49" s="3"/>
      <c r="AG49" s="3"/>
      <c r="AH49" s="2"/>
      <c r="AI49" s="2"/>
    </row>
    <row r="50" spans="1:35">
      <c r="A50" s="73"/>
      <c r="B50" s="68"/>
      <c r="C50" s="3"/>
      <c r="D50" s="3"/>
      <c r="E50" s="3"/>
      <c r="F50" s="3"/>
      <c r="G50" s="3"/>
      <c r="H50" s="3"/>
      <c r="I50" s="3"/>
      <c r="J50" s="3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3"/>
      <c r="AE50" s="16"/>
      <c r="AF50" s="3"/>
      <c r="AG50" s="3"/>
      <c r="AH50" s="2"/>
      <c r="AI50" s="2"/>
    </row>
    <row r="51" spans="1:35">
      <c r="A51" s="73"/>
      <c r="B51" s="68"/>
      <c r="C51" s="3"/>
      <c r="D51" s="3"/>
      <c r="E51" s="3"/>
      <c r="F51" s="3"/>
      <c r="G51" s="3"/>
      <c r="H51" s="3"/>
      <c r="I51" s="3"/>
      <c r="J51" s="3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3"/>
      <c r="AE51" s="16"/>
      <c r="AF51" s="3"/>
      <c r="AG51" s="3"/>
      <c r="AH51" s="2"/>
      <c r="AI51" s="2"/>
    </row>
    <row r="52" spans="1:35">
      <c r="A52" s="73"/>
      <c r="B52" s="68"/>
      <c r="C52" s="3"/>
      <c r="D52" s="3"/>
      <c r="E52" s="3"/>
      <c r="F52" s="3"/>
      <c r="G52" s="3"/>
      <c r="H52" s="3"/>
      <c r="I52" s="3"/>
      <c r="J52" s="3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3"/>
      <c r="AE52" s="3"/>
      <c r="AF52" s="3"/>
      <c r="AG52" s="3"/>
      <c r="AH52" s="2"/>
      <c r="AI52" s="2"/>
    </row>
    <row r="53" spans="1:35">
      <c r="A53" s="73"/>
      <c r="B53" s="69"/>
      <c r="C53" s="3"/>
      <c r="D53" s="3"/>
      <c r="E53" s="3"/>
      <c r="F53" s="3"/>
      <c r="G53" s="3"/>
      <c r="H53" s="3"/>
      <c r="I53" s="3"/>
      <c r="J53" s="3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3"/>
      <c r="AE53" s="3"/>
      <c r="AF53" s="3"/>
      <c r="AG53" s="3"/>
      <c r="AH53" s="2"/>
      <c r="AI53" s="2"/>
    </row>
    <row r="54" spans="1:35">
      <c r="A54" s="73"/>
      <c r="B54" s="68"/>
      <c r="C54" s="3"/>
      <c r="D54" s="3"/>
      <c r="E54" s="3"/>
      <c r="F54" s="3"/>
      <c r="G54" s="3"/>
      <c r="H54" s="3"/>
      <c r="I54" s="3"/>
      <c r="J54" s="3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3"/>
      <c r="AE54" s="18"/>
      <c r="AF54" s="3"/>
      <c r="AG54" s="3"/>
      <c r="AH54" s="2"/>
      <c r="AI54" s="2"/>
    </row>
    <row r="55" spans="1:35">
      <c r="A55" s="73"/>
      <c r="B55" s="68"/>
      <c r="C55" s="3"/>
      <c r="D55" s="3"/>
      <c r="E55" s="3"/>
      <c r="F55" s="3"/>
      <c r="G55" s="3"/>
      <c r="H55" s="3"/>
      <c r="I55" s="3"/>
      <c r="J55" s="3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3"/>
      <c r="AE55" s="18"/>
      <c r="AF55" s="3"/>
      <c r="AG55" s="3"/>
      <c r="AH55" s="2"/>
      <c r="AI55" s="2"/>
    </row>
    <row r="56" spans="1:35">
      <c r="A56" s="73"/>
      <c r="B56" s="68"/>
      <c r="C56" s="3"/>
      <c r="D56" s="3"/>
      <c r="E56" s="3"/>
      <c r="F56" s="3"/>
      <c r="G56" s="3"/>
      <c r="H56" s="3"/>
      <c r="I56" s="3"/>
      <c r="J56" s="3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3"/>
      <c r="AE56" s="18"/>
      <c r="AF56" s="3"/>
      <c r="AG56" s="3"/>
      <c r="AH56" s="2"/>
      <c r="AI56" s="2"/>
    </row>
    <row r="57" spans="1:35">
      <c r="A57" s="73"/>
      <c r="B57" s="68"/>
      <c r="C57" s="3"/>
      <c r="D57" s="3"/>
      <c r="E57" s="3"/>
      <c r="F57" s="3"/>
      <c r="G57" s="3"/>
      <c r="H57" s="3"/>
      <c r="I57" s="3"/>
      <c r="J57" s="3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3"/>
      <c r="AE57" s="18"/>
      <c r="AF57" s="3"/>
      <c r="AG57" s="3"/>
      <c r="AH57" s="2"/>
      <c r="AI57" s="2"/>
    </row>
    <row r="58" spans="1:35">
      <c r="A58" s="73"/>
      <c r="B58" s="68"/>
      <c r="C58" s="3"/>
      <c r="D58" s="3"/>
      <c r="E58" s="3"/>
      <c r="F58" s="3"/>
      <c r="G58" s="3"/>
      <c r="H58" s="3"/>
      <c r="I58" s="3"/>
      <c r="J58" s="3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3"/>
      <c r="AE58" s="18"/>
      <c r="AF58" s="3"/>
      <c r="AG58" s="3"/>
      <c r="AH58" s="2"/>
      <c r="AI58" s="2"/>
    </row>
    <row r="59" spans="1:35">
      <c r="A59" s="73"/>
      <c r="B59" s="68"/>
      <c r="C59" s="3"/>
      <c r="D59" s="3"/>
      <c r="E59" s="3"/>
      <c r="F59" s="3"/>
      <c r="G59" s="3"/>
      <c r="H59" s="3"/>
      <c r="I59" s="3"/>
      <c r="J59" s="3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3"/>
      <c r="AE59" s="18"/>
      <c r="AF59" s="3"/>
      <c r="AG59" s="3"/>
      <c r="AH59" s="2"/>
      <c r="AI59" s="2"/>
    </row>
    <row r="60" spans="1:35">
      <c r="A60" s="73"/>
      <c r="B60" s="68"/>
      <c r="C60" s="3"/>
      <c r="D60" s="3"/>
      <c r="E60" s="3"/>
      <c r="F60" s="3"/>
      <c r="G60" s="3"/>
      <c r="H60" s="3"/>
      <c r="I60" s="3"/>
      <c r="J60" s="3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3"/>
      <c r="AE60" s="18"/>
      <c r="AF60" s="3"/>
      <c r="AG60" s="3"/>
      <c r="AH60" s="2"/>
      <c r="AI60" s="2"/>
    </row>
    <row r="61" spans="1:35">
      <c r="A61" s="73"/>
      <c r="B61" s="68"/>
      <c r="C61" s="3"/>
      <c r="D61" s="3"/>
      <c r="E61" s="3"/>
      <c r="F61" s="3"/>
      <c r="G61" s="3"/>
      <c r="H61" s="3"/>
      <c r="I61" s="3"/>
      <c r="J61" s="3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3"/>
      <c r="AE61" s="18"/>
      <c r="AF61" s="3"/>
      <c r="AG61" s="3"/>
      <c r="AH61" s="2"/>
      <c r="AI61" s="2"/>
    </row>
    <row r="62" spans="1:35">
      <c r="A62" s="73"/>
      <c r="B62" s="68"/>
      <c r="C62" s="3"/>
      <c r="D62" s="3"/>
      <c r="E62" s="3"/>
      <c r="F62" s="3"/>
      <c r="G62" s="3"/>
      <c r="H62" s="3"/>
      <c r="I62" s="3"/>
      <c r="J62" s="3"/>
      <c r="K62" s="18"/>
      <c r="L62" s="18"/>
      <c r="M62" s="18"/>
      <c r="N62" s="75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3"/>
      <c r="AE62" s="18"/>
      <c r="AF62" s="3"/>
      <c r="AG62" s="3"/>
      <c r="AH62" s="2"/>
      <c r="AI62" s="2"/>
    </row>
    <row r="63" spans="1:35">
      <c r="A63" s="73"/>
      <c r="B63" s="68"/>
      <c r="C63" s="3"/>
      <c r="D63" s="3"/>
      <c r="E63" s="3"/>
      <c r="F63" s="3"/>
      <c r="G63" s="3"/>
      <c r="H63" s="3"/>
      <c r="I63" s="3"/>
      <c r="J63" s="3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3"/>
      <c r="AE63" s="18"/>
      <c r="AF63" s="3"/>
      <c r="AG63" s="3"/>
      <c r="AH63" s="2"/>
      <c r="AI63" s="2"/>
    </row>
    <row r="64" spans="1:35">
      <c r="A64" s="73"/>
      <c r="B64" s="68"/>
      <c r="C64" s="3"/>
      <c r="D64" s="3"/>
      <c r="E64" s="3"/>
      <c r="F64" s="3"/>
      <c r="G64" s="3"/>
      <c r="H64" s="3"/>
      <c r="I64" s="3"/>
      <c r="J64" s="3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3"/>
      <c r="AE64" s="18"/>
      <c r="AF64" s="3"/>
      <c r="AG64" s="3"/>
      <c r="AH64" s="2"/>
      <c r="AI64" s="2"/>
    </row>
    <row r="65" spans="1:35">
      <c r="A65" s="73"/>
      <c r="B65" s="68"/>
      <c r="C65" s="3"/>
      <c r="D65" s="3"/>
      <c r="E65" s="3"/>
      <c r="F65" s="3"/>
      <c r="G65" s="3"/>
      <c r="H65" s="3"/>
      <c r="I65" s="3"/>
      <c r="J65" s="3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3"/>
      <c r="AE65" s="18"/>
      <c r="AF65" s="3"/>
      <c r="AG65" s="3"/>
      <c r="AH65" s="2"/>
      <c r="AI65" s="2"/>
    </row>
    <row r="66" spans="1:35">
      <c r="A66" s="73"/>
      <c r="B66" s="68"/>
      <c r="C66" s="3"/>
      <c r="D66" s="3"/>
      <c r="E66" s="3"/>
      <c r="F66" s="3"/>
      <c r="G66" s="3"/>
      <c r="H66" s="3"/>
      <c r="I66" s="3"/>
      <c r="J66" s="3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3"/>
      <c r="AE66" s="18"/>
      <c r="AF66" s="3"/>
      <c r="AG66" s="3"/>
      <c r="AH66" s="2"/>
      <c r="AI66" s="2"/>
    </row>
    <row r="67" spans="1:35">
      <c r="A67" s="73"/>
      <c r="B67" s="68"/>
      <c r="C67" s="3"/>
      <c r="D67" s="3"/>
      <c r="E67" s="3"/>
      <c r="F67" s="3"/>
      <c r="G67" s="3"/>
      <c r="H67" s="3"/>
      <c r="I67" s="3"/>
      <c r="J67" s="3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3"/>
      <c r="AE67" s="18"/>
      <c r="AF67" s="3"/>
      <c r="AG67" s="3"/>
      <c r="AH67" s="2"/>
      <c r="AI67" s="2"/>
    </row>
    <row r="68" spans="1:35">
      <c r="A68" s="73"/>
      <c r="B68" s="68"/>
      <c r="C68" s="3"/>
      <c r="D68" s="3"/>
      <c r="E68" s="3"/>
      <c r="F68" s="3"/>
      <c r="G68" s="3"/>
      <c r="H68" s="3"/>
      <c r="I68" s="3"/>
      <c r="J68" s="3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3"/>
      <c r="AE68" s="18"/>
      <c r="AF68" s="3"/>
      <c r="AG68" s="3"/>
      <c r="AH68" s="2"/>
      <c r="AI68" s="2"/>
    </row>
    <row r="69" spans="1:35">
      <c r="A69" s="73"/>
      <c r="B69" s="68"/>
      <c r="C69" s="3"/>
      <c r="D69" s="3"/>
      <c r="E69" s="3"/>
      <c r="F69" s="3"/>
      <c r="G69" s="3"/>
      <c r="H69" s="3"/>
      <c r="I69" s="3"/>
      <c r="J69" s="3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3"/>
      <c r="AE69" s="18"/>
      <c r="AF69" s="3"/>
      <c r="AG69" s="3"/>
      <c r="AH69" s="2"/>
      <c r="AI69" s="2"/>
    </row>
    <row r="70" spans="1:35">
      <c r="A70" s="73"/>
      <c r="B70" s="68"/>
      <c r="C70" s="3"/>
      <c r="D70" s="3"/>
      <c r="E70" s="3"/>
      <c r="F70" s="3"/>
      <c r="G70" s="3"/>
      <c r="H70" s="3"/>
      <c r="I70" s="3"/>
      <c r="J70" s="3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3"/>
      <c r="AE70" s="18"/>
      <c r="AF70" s="3"/>
      <c r="AG70" s="3"/>
      <c r="AH70" s="2"/>
      <c r="AI70" s="2"/>
    </row>
    <row r="71" spans="1:35">
      <c r="A71" s="73"/>
      <c r="B71" s="68"/>
      <c r="C71" s="3"/>
      <c r="D71" s="3"/>
      <c r="E71" s="3"/>
      <c r="F71" s="3"/>
      <c r="G71" s="3"/>
      <c r="H71" s="3"/>
      <c r="I71" s="3"/>
      <c r="J71" s="3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3"/>
      <c r="AE71" s="18"/>
      <c r="AF71" s="3"/>
      <c r="AG71" s="3"/>
      <c r="AH71" s="2"/>
      <c r="AI71" s="2"/>
    </row>
    <row r="72" spans="1:35">
      <c r="A72" s="73"/>
      <c r="B72" s="68"/>
      <c r="C72" s="3"/>
      <c r="D72" s="3"/>
      <c r="E72" s="3"/>
      <c r="F72" s="3"/>
      <c r="G72" s="3"/>
      <c r="H72" s="3"/>
      <c r="I72" s="3"/>
      <c r="J72" s="3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3"/>
      <c r="AE72" s="18"/>
      <c r="AF72" s="3"/>
      <c r="AG72" s="3"/>
      <c r="AH72" s="2"/>
      <c r="AI72" s="2"/>
    </row>
    <row r="73" spans="1:35">
      <c r="A73" s="73"/>
      <c r="B73" s="3"/>
      <c r="C73" s="3"/>
      <c r="D73" s="3"/>
      <c r="E73" s="3"/>
      <c r="F73" s="3"/>
      <c r="G73" s="3"/>
      <c r="H73" s="3"/>
      <c r="I73" s="3"/>
      <c r="J73" s="3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3"/>
      <c r="AE73" s="3"/>
      <c r="AF73" s="3"/>
      <c r="AG73" s="3"/>
      <c r="AH73" s="2"/>
      <c r="AI73" s="2"/>
    </row>
    <row r="74" spans="1:3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</sheetData>
  <mergeCells count="2">
    <mergeCell ref="AE3:AG3"/>
    <mergeCell ref="K2:W2"/>
  </mergeCells>
  <pageMargins left="0.25" right="0.25" top="0.75" bottom="0.75" header="0.3" footer="0.3"/>
  <pageSetup scale="35" orientation="portrait" horizontalDpi="360" verticalDpi="36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4">
    <pageSetUpPr fitToPage="1"/>
  </sheetPr>
  <dimension ref="A1:AC75"/>
  <sheetViews>
    <sheetView zoomScale="85" zoomScaleNormal="70" workbookViewId="0">
      <selection activeCell="C4" sqref="C4:H28"/>
    </sheetView>
  </sheetViews>
  <sheetFormatPr baseColWidth="10" defaultRowHeight="15"/>
  <cols>
    <col min="1" max="1" width="4.42578125" customWidth="1"/>
    <col min="2" max="2" width="20.42578125" customWidth="1"/>
    <col min="3" max="8" width="4.7109375" customWidth="1"/>
    <col min="9" max="18" width="7.7109375" customWidth="1"/>
  </cols>
  <sheetData>
    <row r="1" spans="1:29" ht="15" customHeight="1">
      <c r="A1" s="58"/>
      <c r="B1" s="58"/>
      <c r="C1" s="59" t="str">
        <f>('ORDENES '!L1)</f>
        <v>11-17 enero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 spans="1:29" ht="24.75">
      <c r="A2" s="86"/>
      <c r="B2" s="86"/>
      <c r="C2" s="86"/>
      <c r="D2" s="86"/>
      <c r="E2" s="86"/>
      <c r="F2" s="86"/>
      <c r="G2" s="86"/>
      <c r="H2" s="86"/>
      <c r="I2" s="162" t="s">
        <v>29</v>
      </c>
      <c r="J2" s="162"/>
      <c r="K2" s="162"/>
      <c r="L2" s="162"/>
      <c r="M2" s="162"/>
      <c r="N2" s="162"/>
      <c r="O2" s="162"/>
      <c r="P2" s="162"/>
      <c r="Q2" s="162"/>
      <c r="R2" s="86"/>
      <c r="S2" s="86"/>
      <c r="T2" s="86"/>
      <c r="U2" s="86"/>
      <c r="V2" s="86"/>
      <c r="W2" s="86"/>
      <c r="Y2" s="21"/>
      <c r="Z2" s="21"/>
      <c r="AA2" s="21"/>
      <c r="AB2" s="27"/>
    </row>
    <row r="3" spans="1:29">
      <c r="A3" s="7" t="s">
        <v>0</v>
      </c>
      <c r="B3" s="4" t="s">
        <v>1</v>
      </c>
      <c r="C3" s="4" t="s">
        <v>8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9</v>
      </c>
      <c r="I3" s="65" t="s">
        <v>22</v>
      </c>
      <c r="J3" s="4" t="s">
        <v>23</v>
      </c>
      <c r="K3" s="65" t="s">
        <v>10</v>
      </c>
      <c r="L3" s="4" t="s">
        <v>11</v>
      </c>
      <c r="M3" s="65" t="s">
        <v>12</v>
      </c>
      <c r="N3" s="4" t="s">
        <v>13</v>
      </c>
      <c r="O3" s="65" t="s">
        <v>14</v>
      </c>
      <c r="P3" s="4" t="s">
        <v>15</v>
      </c>
      <c r="Q3" s="65" t="s">
        <v>16</v>
      </c>
      <c r="R3" s="4" t="s">
        <v>17</v>
      </c>
      <c r="S3" s="8" t="s">
        <v>24</v>
      </c>
      <c r="T3" s="8" t="s">
        <v>25</v>
      </c>
      <c r="U3" s="8" t="s">
        <v>26</v>
      </c>
      <c r="V3" s="8" t="s">
        <v>27</v>
      </c>
      <c r="W3" s="4" t="s">
        <v>28</v>
      </c>
      <c r="X3" s="3"/>
      <c r="Y3" s="159"/>
      <c r="Z3" s="159"/>
      <c r="AA3" s="159"/>
      <c r="AB3" s="26"/>
      <c r="AC3" s="3"/>
    </row>
    <row r="4" spans="1:29">
      <c r="A4" s="1">
        <v>1</v>
      </c>
      <c r="B4" s="70" t="str">
        <f>(PRECIOS!B4)</f>
        <v>CHULETA DE CERDO</v>
      </c>
      <c r="C4" s="93">
        <f>SUM('ORDENES '!O31)</f>
        <v>0</v>
      </c>
      <c r="D4" s="94">
        <f>SUM('ORDENES '!P31)</f>
        <v>0</v>
      </c>
      <c r="E4" s="93">
        <f>SUM('ORDENES '!Q31)</f>
        <v>0</v>
      </c>
      <c r="F4" s="94">
        <f>SUM('ORDENES '!R31)</f>
        <v>0</v>
      </c>
      <c r="G4" s="93">
        <f>SUM('ORDENES '!S31)</f>
        <v>0</v>
      </c>
      <c r="H4" s="9">
        <f t="shared" ref="H4" si="0">SUM(C4:G4)</f>
        <v>0</v>
      </c>
      <c r="I4" s="66">
        <f t="shared" ref="I4:I28" si="1">SUM(C4*S4)</f>
        <v>0</v>
      </c>
      <c r="J4" s="5">
        <f t="shared" ref="J4:J28" si="2">SUM(C4*T4)</f>
        <v>0</v>
      </c>
      <c r="K4" s="66">
        <f t="shared" ref="K4:K28" si="3">SUM(D4*S4)</f>
        <v>0</v>
      </c>
      <c r="L4" s="5">
        <f t="shared" ref="L4:L28" si="4">SUM(D4*T4)</f>
        <v>0</v>
      </c>
      <c r="M4" s="66">
        <f t="shared" ref="M4:M28" si="5">SUM(E4*S4)</f>
        <v>0</v>
      </c>
      <c r="N4" s="5">
        <f t="shared" ref="N4:N28" si="6">SUM(E4*T4)</f>
        <v>0</v>
      </c>
      <c r="O4" s="66">
        <f t="shared" ref="O4:O28" si="7">SUM(F4*S4)</f>
        <v>0</v>
      </c>
      <c r="P4" s="5">
        <f t="shared" ref="P4:P28" si="8">SUM(F4*T4)</f>
        <v>0</v>
      </c>
      <c r="Q4" s="66">
        <f t="shared" ref="Q4:Q28" si="9">SUM(G4*S4)</f>
        <v>0</v>
      </c>
      <c r="R4" s="5">
        <f t="shared" ref="R4:R28" si="10">SUM(G4*T4)</f>
        <v>0</v>
      </c>
      <c r="S4" s="10">
        <f>SUM(PRECIOS!C4)</f>
        <v>89</v>
      </c>
      <c r="T4" s="11">
        <f>SUM(PRECIOS!D4)</f>
        <v>89</v>
      </c>
      <c r="U4" s="20">
        <f t="shared" ref="U4:U28" si="11">S4*H4</f>
        <v>0</v>
      </c>
      <c r="V4" s="12">
        <f t="shared" ref="V4:V28" si="12">T4*H4</f>
        <v>0</v>
      </c>
      <c r="W4" s="13">
        <f t="shared" ref="W4:W28" si="13">V4-U4</f>
        <v>0</v>
      </c>
      <c r="X4" s="3"/>
      <c r="Y4" s="22"/>
      <c r="Z4" s="22"/>
      <c r="AA4" s="23"/>
      <c r="AB4" s="26"/>
      <c r="AC4" s="3"/>
    </row>
    <row r="5" spans="1:29">
      <c r="A5" s="1">
        <v>2</v>
      </c>
      <c r="B5" s="70" t="str">
        <f>(PRECIOS!B5)</f>
        <v>LOMO DE CERDO</v>
      </c>
      <c r="C5" s="93">
        <f>SUM('ORDENES '!O32)</f>
        <v>0</v>
      </c>
      <c r="D5" s="94">
        <f>SUM('ORDENES '!P32)</f>
        <v>6</v>
      </c>
      <c r="E5" s="93">
        <f>SUM('ORDENES '!Q32)</f>
        <v>0</v>
      </c>
      <c r="F5" s="94">
        <f>SUM('ORDENES '!R32)</f>
        <v>0</v>
      </c>
      <c r="G5" s="93">
        <f>SUM('ORDENES '!S32)</f>
        <v>0</v>
      </c>
      <c r="H5" s="9">
        <f t="shared" ref="H5:H28" si="14">SUM(C5:G5)</f>
        <v>6</v>
      </c>
      <c r="I5" s="66">
        <f t="shared" si="1"/>
        <v>0</v>
      </c>
      <c r="J5" s="5">
        <f t="shared" si="2"/>
        <v>0</v>
      </c>
      <c r="K5" s="66">
        <f t="shared" si="3"/>
        <v>300</v>
      </c>
      <c r="L5" s="5">
        <f t="shared" si="4"/>
        <v>570</v>
      </c>
      <c r="M5" s="66">
        <f t="shared" si="5"/>
        <v>0</v>
      </c>
      <c r="N5" s="5">
        <f t="shared" si="6"/>
        <v>0</v>
      </c>
      <c r="O5" s="66">
        <f t="shared" si="7"/>
        <v>0</v>
      </c>
      <c r="P5" s="5">
        <f t="shared" si="8"/>
        <v>0</v>
      </c>
      <c r="Q5" s="66">
        <f t="shared" si="9"/>
        <v>0</v>
      </c>
      <c r="R5" s="5">
        <f t="shared" si="10"/>
        <v>0</v>
      </c>
      <c r="S5" s="10">
        <f>SUM(PRECIOS!C5)</f>
        <v>50</v>
      </c>
      <c r="T5" s="11">
        <f>SUM(PRECIOS!D5)</f>
        <v>95</v>
      </c>
      <c r="U5" s="20">
        <f t="shared" si="11"/>
        <v>300</v>
      </c>
      <c r="V5" s="12">
        <f t="shared" si="12"/>
        <v>570</v>
      </c>
      <c r="W5" s="13">
        <f t="shared" si="13"/>
        <v>270</v>
      </c>
      <c r="X5" s="3"/>
      <c r="Y5" s="24"/>
      <c r="Z5" s="25"/>
      <c r="AA5" s="25"/>
      <c r="AB5" s="26"/>
      <c r="AC5" s="3"/>
    </row>
    <row r="6" spans="1:29" ht="18">
      <c r="A6" s="1">
        <v>3</v>
      </c>
      <c r="B6" s="70" t="str">
        <f>(PRECIOS!B6)</f>
        <v>PIERNA DE CERDO EN TROZO</v>
      </c>
      <c r="C6" s="93">
        <f>SUM('ORDENES '!O33)</f>
        <v>0</v>
      </c>
      <c r="D6" s="94">
        <f>SUM('ORDENES '!P33)</f>
        <v>0</v>
      </c>
      <c r="E6" s="93">
        <f>SUM('ORDENES '!Q33)</f>
        <v>0</v>
      </c>
      <c r="F6" s="94">
        <f>SUM('ORDENES '!R33)</f>
        <v>0</v>
      </c>
      <c r="G6" s="93">
        <f>SUM('ORDENES '!S33)</f>
        <v>0</v>
      </c>
      <c r="H6" s="9">
        <f t="shared" si="14"/>
        <v>0</v>
      </c>
      <c r="I6" s="66">
        <f t="shared" si="1"/>
        <v>0</v>
      </c>
      <c r="J6" s="5">
        <f t="shared" si="2"/>
        <v>0</v>
      </c>
      <c r="K6" s="66">
        <f t="shared" si="3"/>
        <v>0</v>
      </c>
      <c r="L6" s="5">
        <f t="shared" si="4"/>
        <v>0</v>
      </c>
      <c r="M6" s="66">
        <f t="shared" si="5"/>
        <v>0</v>
      </c>
      <c r="N6" s="5">
        <f t="shared" si="6"/>
        <v>0</v>
      </c>
      <c r="O6" s="66">
        <f t="shared" si="7"/>
        <v>0</v>
      </c>
      <c r="P6" s="5">
        <f t="shared" si="8"/>
        <v>0</v>
      </c>
      <c r="Q6" s="66">
        <f t="shared" si="9"/>
        <v>0</v>
      </c>
      <c r="R6" s="5">
        <f t="shared" si="10"/>
        <v>0</v>
      </c>
      <c r="S6" s="10">
        <f>SUM(PRECIOS!C6)</f>
        <v>64</v>
      </c>
      <c r="T6" s="11">
        <f>SUM(PRECIOS!D6)</f>
        <v>82</v>
      </c>
      <c r="U6" s="20">
        <f t="shared" si="11"/>
        <v>0</v>
      </c>
      <c r="V6" s="12">
        <f t="shared" si="12"/>
        <v>0</v>
      </c>
      <c r="W6" s="13">
        <f t="shared" si="13"/>
        <v>0</v>
      </c>
      <c r="X6" s="3"/>
      <c r="Y6" s="24"/>
      <c r="Z6" s="26"/>
      <c r="AA6" s="26"/>
      <c r="AB6" s="26"/>
      <c r="AC6" s="3"/>
    </row>
    <row r="7" spans="1:29">
      <c r="A7" s="1">
        <v>4</v>
      </c>
      <c r="B7" s="70" t="str">
        <f>(PRECIOS!B7)</f>
        <v>PIERNA DE CERDO MOLIDA</v>
      </c>
      <c r="C7" s="93">
        <f>SUM('ORDENES '!O34)</f>
        <v>0</v>
      </c>
      <c r="D7" s="94">
        <f>SUM('ORDENES '!P34)</f>
        <v>0</v>
      </c>
      <c r="E7" s="93">
        <f>SUM('ORDENES '!Q34)</f>
        <v>0</v>
      </c>
      <c r="F7" s="94">
        <f>SUM('ORDENES '!R34)</f>
        <v>0</v>
      </c>
      <c r="G7" s="93">
        <f>SUM('ORDENES '!S34)</f>
        <v>0</v>
      </c>
      <c r="H7" s="9">
        <f t="shared" si="14"/>
        <v>0</v>
      </c>
      <c r="I7" s="66">
        <f t="shared" si="1"/>
        <v>0</v>
      </c>
      <c r="J7" s="5">
        <f t="shared" si="2"/>
        <v>0</v>
      </c>
      <c r="K7" s="66">
        <f t="shared" si="3"/>
        <v>0</v>
      </c>
      <c r="L7" s="5">
        <f t="shared" si="4"/>
        <v>0</v>
      </c>
      <c r="M7" s="66">
        <f t="shared" si="5"/>
        <v>0</v>
      </c>
      <c r="N7" s="5">
        <f t="shared" si="6"/>
        <v>0</v>
      </c>
      <c r="O7" s="66">
        <f t="shared" si="7"/>
        <v>0</v>
      </c>
      <c r="P7" s="5">
        <f t="shared" si="8"/>
        <v>0</v>
      </c>
      <c r="Q7" s="66">
        <f t="shared" si="9"/>
        <v>0</v>
      </c>
      <c r="R7" s="5">
        <f t="shared" si="10"/>
        <v>0</v>
      </c>
      <c r="S7" s="10">
        <f>SUM(PRECIOS!C7)</f>
        <v>50</v>
      </c>
      <c r="T7" s="11">
        <f>SUM(PRECIOS!D7)</f>
        <v>60</v>
      </c>
      <c r="U7" s="20">
        <f t="shared" si="11"/>
        <v>0</v>
      </c>
      <c r="V7" s="12">
        <f t="shared" si="12"/>
        <v>0</v>
      </c>
      <c r="W7" s="13">
        <f t="shared" si="13"/>
        <v>0</v>
      </c>
      <c r="X7" s="3"/>
      <c r="Y7" s="24"/>
      <c r="Z7" s="26"/>
      <c r="AA7" s="26"/>
      <c r="AB7" s="26"/>
      <c r="AC7" s="3"/>
    </row>
    <row r="8" spans="1:29" ht="18">
      <c r="A8" s="1">
        <v>5</v>
      </c>
      <c r="B8" s="70" t="str">
        <f>(PRECIOS!B8)</f>
        <v>MERO EN FILETE CONGELADO</v>
      </c>
      <c r="C8" s="93">
        <f>SUM('ORDENES '!O35)</f>
        <v>0</v>
      </c>
      <c r="D8" s="94">
        <f>SUM('ORDENES '!P35)</f>
        <v>0</v>
      </c>
      <c r="E8" s="93">
        <f>SUM('ORDENES '!Q35)</f>
        <v>0</v>
      </c>
      <c r="F8" s="94">
        <f>SUM('ORDENES '!R35)</f>
        <v>0</v>
      </c>
      <c r="G8" s="93">
        <f>SUM('ORDENES '!S35)</f>
        <v>0</v>
      </c>
      <c r="H8" s="9">
        <f t="shared" si="14"/>
        <v>0</v>
      </c>
      <c r="I8" s="66">
        <f t="shared" si="1"/>
        <v>0</v>
      </c>
      <c r="J8" s="5">
        <f t="shared" si="2"/>
        <v>0</v>
      </c>
      <c r="K8" s="66">
        <f t="shared" si="3"/>
        <v>0</v>
      </c>
      <c r="L8" s="5">
        <f t="shared" si="4"/>
        <v>0</v>
      </c>
      <c r="M8" s="66">
        <f t="shared" si="5"/>
        <v>0</v>
      </c>
      <c r="N8" s="5">
        <f t="shared" si="6"/>
        <v>0</v>
      </c>
      <c r="O8" s="66">
        <f t="shared" si="7"/>
        <v>0</v>
      </c>
      <c r="P8" s="5">
        <f t="shared" si="8"/>
        <v>0</v>
      </c>
      <c r="Q8" s="66">
        <f t="shared" si="9"/>
        <v>0</v>
      </c>
      <c r="R8" s="5">
        <f t="shared" si="10"/>
        <v>0</v>
      </c>
      <c r="S8" s="10">
        <f>SUM(PRECIOS!C8)</f>
        <v>56.9</v>
      </c>
      <c r="T8" s="11">
        <f>SUM(PRECIOS!D8)</f>
        <v>90</v>
      </c>
      <c r="U8" s="20">
        <f t="shared" si="11"/>
        <v>0</v>
      </c>
      <c r="V8" s="12">
        <f t="shared" si="12"/>
        <v>0</v>
      </c>
      <c r="W8" s="13">
        <f t="shared" si="13"/>
        <v>0</v>
      </c>
      <c r="X8" s="3"/>
      <c r="Y8" s="17"/>
      <c r="Z8" s="3"/>
      <c r="AA8" s="3"/>
      <c r="AB8" s="3"/>
      <c r="AC8" s="3"/>
    </row>
    <row r="9" spans="1:29">
      <c r="A9" s="1">
        <v>6</v>
      </c>
      <c r="B9" s="70" t="str">
        <f>(PRECIOS!B9)</f>
        <v xml:space="preserve">PECHUGA DE POLLO </v>
      </c>
      <c r="C9" s="93">
        <f>SUM('ORDENES '!O36)</f>
        <v>0</v>
      </c>
      <c r="D9" s="94">
        <f>SUM('ORDENES '!P36)</f>
        <v>0</v>
      </c>
      <c r="E9" s="93">
        <f>SUM('ORDENES '!Q36)</f>
        <v>0</v>
      </c>
      <c r="F9" s="94">
        <f>SUM('ORDENES '!R36)</f>
        <v>0</v>
      </c>
      <c r="G9" s="93">
        <f>SUM('ORDENES '!S36)</f>
        <v>0</v>
      </c>
      <c r="H9" s="9">
        <f t="shared" si="14"/>
        <v>0</v>
      </c>
      <c r="I9" s="66">
        <f t="shared" ref="I9" si="15">SUM(C9*S9)</f>
        <v>0</v>
      </c>
      <c r="J9" s="5">
        <f t="shared" ref="J9" si="16">SUM(C9*T9)</f>
        <v>0</v>
      </c>
      <c r="K9" s="66">
        <f t="shared" ref="K9" si="17">SUM(D9*S9)</f>
        <v>0</v>
      </c>
      <c r="L9" s="5">
        <f t="shared" ref="L9" si="18">SUM(D9*T9)</f>
        <v>0</v>
      </c>
      <c r="M9" s="66">
        <f t="shared" ref="M9" si="19">SUM(E9*S9)</f>
        <v>0</v>
      </c>
      <c r="N9" s="5">
        <f t="shared" ref="N9" si="20">SUM(E9*T9)</f>
        <v>0</v>
      </c>
      <c r="O9" s="66">
        <f t="shared" ref="O9" si="21">SUM(F9*S9)</f>
        <v>0</v>
      </c>
      <c r="P9" s="5">
        <f t="shared" ref="P9" si="22">SUM(F9*T9)</f>
        <v>0</v>
      </c>
      <c r="Q9" s="66">
        <f t="shared" ref="Q9" si="23">SUM(G9*S9)</f>
        <v>0</v>
      </c>
      <c r="R9" s="5">
        <f t="shared" ref="R9" si="24">SUM(G9*T9)</f>
        <v>0</v>
      </c>
      <c r="S9" s="10">
        <f>SUM(PRECIOS!C9)</f>
        <v>0</v>
      </c>
      <c r="T9" s="11">
        <f>SUM(PRECIOS!D9)</f>
        <v>98</v>
      </c>
      <c r="U9" s="20">
        <f t="shared" ref="U9" si="25">S9*H9</f>
        <v>0</v>
      </c>
      <c r="V9" s="12">
        <f t="shared" ref="V9" si="26">T9*H9</f>
        <v>0</v>
      </c>
      <c r="W9" s="13">
        <f t="shared" ref="W9" si="27">V9-U9</f>
        <v>0</v>
      </c>
      <c r="X9" s="3"/>
      <c r="Y9" s="17"/>
      <c r="Z9" s="3"/>
      <c r="AA9" s="3"/>
      <c r="AB9" s="3"/>
      <c r="AC9" s="3"/>
    </row>
    <row r="10" spans="1:29" ht="18">
      <c r="A10" s="1">
        <v>6</v>
      </c>
      <c r="B10" s="70" t="str">
        <f>(PRECIOS!B10)</f>
        <v>PECHUGA DE POLLO DESHUESADA</v>
      </c>
      <c r="C10" s="93">
        <f>SUM('ORDENES '!O37)</f>
        <v>10</v>
      </c>
      <c r="D10" s="94">
        <f>SUM('ORDENES '!P37)</f>
        <v>10</v>
      </c>
      <c r="E10" s="93">
        <f>SUM('ORDENES '!Q37)</f>
        <v>2.5</v>
      </c>
      <c r="F10" s="94">
        <f>SUM('ORDENES '!R37)</f>
        <v>5</v>
      </c>
      <c r="G10" s="93">
        <f>SUM('ORDENES '!S37)</f>
        <v>1.5</v>
      </c>
      <c r="H10" s="9">
        <f t="shared" si="14"/>
        <v>29</v>
      </c>
      <c r="I10" s="66">
        <f t="shared" si="1"/>
        <v>738</v>
      </c>
      <c r="J10" s="5">
        <f t="shared" si="2"/>
        <v>1500</v>
      </c>
      <c r="K10" s="66">
        <f t="shared" si="3"/>
        <v>738</v>
      </c>
      <c r="L10" s="5">
        <f t="shared" si="4"/>
        <v>1500</v>
      </c>
      <c r="M10" s="66">
        <f t="shared" si="5"/>
        <v>184.5</v>
      </c>
      <c r="N10" s="5">
        <f t="shared" si="6"/>
        <v>375</v>
      </c>
      <c r="O10" s="66">
        <f t="shared" si="7"/>
        <v>369</v>
      </c>
      <c r="P10" s="5">
        <f t="shared" si="8"/>
        <v>750</v>
      </c>
      <c r="Q10" s="66">
        <f t="shared" si="9"/>
        <v>110.69999999999999</v>
      </c>
      <c r="R10" s="5">
        <f t="shared" si="10"/>
        <v>225</v>
      </c>
      <c r="S10" s="10">
        <f>SUM(PRECIOS!C10)</f>
        <v>73.8</v>
      </c>
      <c r="T10" s="11">
        <f>SUM(PRECIOS!D10)</f>
        <v>150</v>
      </c>
      <c r="U10" s="20">
        <f t="shared" si="11"/>
        <v>2140.1999999999998</v>
      </c>
      <c r="V10" s="12">
        <f t="shared" si="12"/>
        <v>4350</v>
      </c>
      <c r="W10" s="13">
        <f t="shared" si="13"/>
        <v>2209.8000000000002</v>
      </c>
      <c r="X10" s="3"/>
      <c r="Y10" s="17"/>
      <c r="Z10" s="3"/>
      <c r="AA10" s="3"/>
      <c r="AB10" s="3"/>
      <c r="AC10" s="3"/>
    </row>
    <row r="11" spans="1:29" ht="18">
      <c r="A11" s="1">
        <v>7</v>
      </c>
      <c r="B11" s="70" t="str">
        <f>(PRECIOS!B11)</f>
        <v>PECHUGA  DESHUESADA EN BISTEC</v>
      </c>
      <c r="C11" s="93">
        <f>SUM('ORDENES '!O38)</f>
        <v>0</v>
      </c>
      <c r="D11" s="94">
        <f>SUM('ORDENES '!P38)</f>
        <v>0</v>
      </c>
      <c r="E11" s="93">
        <f>SUM('ORDENES '!Q38)</f>
        <v>0</v>
      </c>
      <c r="F11" s="94">
        <f>SUM('ORDENES '!R38)</f>
        <v>0</v>
      </c>
      <c r="G11" s="93">
        <f>SUM('ORDENES '!S38)</f>
        <v>0</v>
      </c>
      <c r="H11" s="9">
        <f t="shared" si="14"/>
        <v>0</v>
      </c>
      <c r="I11" s="66">
        <f t="shared" si="1"/>
        <v>0</v>
      </c>
      <c r="J11" s="5">
        <f t="shared" si="2"/>
        <v>0</v>
      </c>
      <c r="K11" s="66">
        <f t="shared" si="3"/>
        <v>0</v>
      </c>
      <c r="L11" s="5">
        <f t="shared" si="4"/>
        <v>0</v>
      </c>
      <c r="M11" s="66">
        <f t="shared" si="5"/>
        <v>0</v>
      </c>
      <c r="N11" s="5">
        <f t="shared" si="6"/>
        <v>0</v>
      </c>
      <c r="O11" s="66">
        <f t="shared" si="7"/>
        <v>0</v>
      </c>
      <c r="P11" s="5">
        <f t="shared" si="8"/>
        <v>0</v>
      </c>
      <c r="Q11" s="66">
        <f t="shared" si="9"/>
        <v>0</v>
      </c>
      <c r="R11" s="5">
        <f t="shared" si="10"/>
        <v>0</v>
      </c>
      <c r="S11" s="10">
        <f>SUM(PRECIOS!C11)</f>
        <v>73.8</v>
      </c>
      <c r="T11" s="11">
        <f>SUM(PRECIOS!D11)</f>
        <v>150</v>
      </c>
      <c r="U11" s="20">
        <f t="shared" si="11"/>
        <v>0</v>
      </c>
      <c r="V11" s="12">
        <f t="shared" si="12"/>
        <v>0</v>
      </c>
      <c r="W11" s="13">
        <f t="shared" si="13"/>
        <v>0</v>
      </c>
      <c r="X11" s="3"/>
      <c r="Y11" s="17"/>
      <c r="Z11" s="3"/>
      <c r="AA11" s="3"/>
      <c r="AB11" s="3"/>
      <c r="AC11" s="3"/>
    </row>
    <row r="12" spans="1:29" ht="18">
      <c r="A12" s="1">
        <v>8</v>
      </c>
      <c r="B12" s="70" t="str">
        <f>(PRECIOS!B12)</f>
        <v>PECHUGA DE POLLO  MÓLIDA</v>
      </c>
      <c r="C12" s="93">
        <f>SUM('ORDENES '!O39)</f>
        <v>0</v>
      </c>
      <c r="D12" s="94">
        <f>SUM('ORDENES '!P39)</f>
        <v>0</v>
      </c>
      <c r="E12" s="93">
        <f>SUM('ORDENES '!Q39)</f>
        <v>0</v>
      </c>
      <c r="F12" s="94">
        <f>SUM('ORDENES '!R39)</f>
        <v>0</v>
      </c>
      <c r="G12" s="93">
        <f>SUM('ORDENES '!S39)</f>
        <v>0</v>
      </c>
      <c r="H12" s="9">
        <f t="shared" si="14"/>
        <v>0</v>
      </c>
      <c r="I12" s="66">
        <f t="shared" si="1"/>
        <v>0</v>
      </c>
      <c r="J12" s="5">
        <f t="shared" si="2"/>
        <v>0</v>
      </c>
      <c r="K12" s="66">
        <f t="shared" si="3"/>
        <v>0</v>
      </c>
      <c r="L12" s="5">
        <f t="shared" si="4"/>
        <v>0</v>
      </c>
      <c r="M12" s="66">
        <f t="shared" si="5"/>
        <v>0</v>
      </c>
      <c r="N12" s="5">
        <f t="shared" si="6"/>
        <v>0</v>
      </c>
      <c r="O12" s="66">
        <f t="shared" si="7"/>
        <v>0</v>
      </c>
      <c r="P12" s="5">
        <f t="shared" si="8"/>
        <v>0</v>
      </c>
      <c r="Q12" s="66">
        <f t="shared" si="9"/>
        <v>0</v>
      </c>
      <c r="R12" s="5">
        <f t="shared" si="10"/>
        <v>0</v>
      </c>
      <c r="S12" s="10">
        <f>SUM(PRECIOS!C12)</f>
        <v>55</v>
      </c>
      <c r="T12" s="11">
        <f>SUM(PRECIOS!D12)</f>
        <v>75</v>
      </c>
      <c r="U12" s="20">
        <f t="shared" si="11"/>
        <v>0</v>
      </c>
      <c r="V12" s="12">
        <f t="shared" si="12"/>
        <v>0</v>
      </c>
      <c r="W12" s="13">
        <f t="shared" si="13"/>
        <v>0</v>
      </c>
      <c r="X12" s="3"/>
      <c r="Y12" s="17"/>
      <c r="Z12" s="3"/>
      <c r="AA12" s="3"/>
      <c r="AB12" s="3"/>
      <c r="AC12" s="3"/>
    </row>
    <row r="13" spans="1:29" ht="27">
      <c r="A13" s="1">
        <v>9</v>
      </c>
      <c r="B13" s="70" t="str">
        <f>(PRECIOS!B13)</f>
        <v>PIERNA Y MUSLO DE POLLO SIN PIEL EN FORMA DE PISTOLA</v>
      </c>
      <c r="C13" s="93">
        <f>SUM('ORDENES '!O40)</f>
        <v>0</v>
      </c>
      <c r="D13" s="94">
        <f>SUM('ORDENES '!P40)</f>
        <v>0</v>
      </c>
      <c r="E13" s="93">
        <f>SUM('ORDENES '!Q40)</f>
        <v>0</v>
      </c>
      <c r="F13" s="94">
        <f>SUM('ORDENES '!R40)</f>
        <v>0</v>
      </c>
      <c r="G13" s="93">
        <f>SUM('ORDENES '!S40)</f>
        <v>0</v>
      </c>
      <c r="H13" s="9">
        <f t="shared" si="14"/>
        <v>0</v>
      </c>
      <c r="I13" s="66">
        <f t="shared" si="1"/>
        <v>0</v>
      </c>
      <c r="J13" s="5">
        <f t="shared" si="2"/>
        <v>0</v>
      </c>
      <c r="K13" s="66">
        <f t="shared" si="3"/>
        <v>0</v>
      </c>
      <c r="L13" s="5">
        <f t="shared" si="4"/>
        <v>0</v>
      </c>
      <c r="M13" s="66">
        <f t="shared" si="5"/>
        <v>0</v>
      </c>
      <c r="N13" s="5">
        <f t="shared" si="6"/>
        <v>0</v>
      </c>
      <c r="O13" s="66">
        <f t="shared" si="7"/>
        <v>0</v>
      </c>
      <c r="P13" s="5">
        <f t="shared" si="8"/>
        <v>0</v>
      </c>
      <c r="Q13" s="66">
        <f t="shared" si="9"/>
        <v>0</v>
      </c>
      <c r="R13" s="5">
        <f t="shared" si="10"/>
        <v>0</v>
      </c>
      <c r="S13" s="10">
        <f>SUM(PRECIOS!C13)</f>
        <v>35.799999999999997</v>
      </c>
      <c r="T13" s="11">
        <f>SUM(PRECIOS!D13)</f>
        <v>65</v>
      </c>
      <c r="U13" s="20">
        <f t="shared" si="11"/>
        <v>0</v>
      </c>
      <c r="V13" s="12">
        <f t="shared" si="12"/>
        <v>0</v>
      </c>
      <c r="W13" s="13">
        <f t="shared" si="13"/>
        <v>0</v>
      </c>
      <c r="X13" s="3"/>
      <c r="Y13" s="17"/>
      <c r="Z13" s="3"/>
      <c r="AA13" s="3"/>
      <c r="AB13" s="3"/>
      <c r="AC13" s="3"/>
    </row>
    <row r="14" spans="1:29">
      <c r="A14" s="1">
        <v>10</v>
      </c>
      <c r="B14" s="70" t="str">
        <f>(PRECIOS!B14)</f>
        <v>POLLO ENTERO</v>
      </c>
      <c r="C14" s="93">
        <f>SUM('ORDENES '!O41)</f>
        <v>0</v>
      </c>
      <c r="D14" s="94">
        <f>SUM('ORDENES '!P41)</f>
        <v>0</v>
      </c>
      <c r="E14" s="93">
        <f>SUM('ORDENES '!Q41)</f>
        <v>0</v>
      </c>
      <c r="F14" s="94">
        <f>SUM('ORDENES '!R41)</f>
        <v>0</v>
      </c>
      <c r="G14" s="93">
        <f>SUM('ORDENES '!S41)</f>
        <v>0</v>
      </c>
      <c r="H14" s="9">
        <f t="shared" si="14"/>
        <v>0</v>
      </c>
      <c r="I14" s="66">
        <f t="shared" si="1"/>
        <v>0</v>
      </c>
      <c r="J14" s="5">
        <f t="shared" si="2"/>
        <v>0</v>
      </c>
      <c r="K14" s="66">
        <f t="shared" si="3"/>
        <v>0</v>
      </c>
      <c r="L14" s="5">
        <f t="shared" si="4"/>
        <v>0</v>
      </c>
      <c r="M14" s="66">
        <f t="shared" si="5"/>
        <v>0</v>
      </c>
      <c r="N14" s="5">
        <f t="shared" si="6"/>
        <v>0</v>
      </c>
      <c r="O14" s="66">
        <f t="shared" si="7"/>
        <v>0</v>
      </c>
      <c r="P14" s="5">
        <f t="shared" si="8"/>
        <v>0</v>
      </c>
      <c r="Q14" s="66">
        <f t="shared" si="9"/>
        <v>0</v>
      </c>
      <c r="R14" s="5">
        <f t="shared" si="10"/>
        <v>0</v>
      </c>
      <c r="S14" s="10">
        <f>SUM(PRECIOS!C14)</f>
        <v>50</v>
      </c>
      <c r="T14" s="11">
        <f>SUM(PRECIOS!D14)</f>
        <v>50</v>
      </c>
      <c r="U14" s="20">
        <f t="shared" si="11"/>
        <v>0</v>
      </c>
      <c r="V14" s="12">
        <f t="shared" si="12"/>
        <v>0</v>
      </c>
      <c r="W14" s="13">
        <f t="shared" si="13"/>
        <v>0</v>
      </c>
      <c r="X14" s="3"/>
      <c r="Y14" s="17"/>
      <c r="Z14" s="3"/>
      <c r="AA14" s="3"/>
      <c r="AB14" s="3"/>
      <c r="AC14" s="3"/>
    </row>
    <row r="15" spans="1:29">
      <c r="A15" s="1">
        <v>11</v>
      </c>
      <c r="B15" s="70" t="str">
        <f>(PRECIOS!B15)</f>
        <v>BISTEC DE PIERNA DE RES</v>
      </c>
      <c r="C15" s="93">
        <f>SUM('ORDENES '!O42)</f>
        <v>0</v>
      </c>
      <c r="D15" s="94">
        <f>SUM('ORDENES '!P42)</f>
        <v>0</v>
      </c>
      <c r="E15" s="93">
        <f>SUM('ORDENES '!Q42)</f>
        <v>0</v>
      </c>
      <c r="F15" s="94">
        <f>SUM('ORDENES '!R42)</f>
        <v>4</v>
      </c>
      <c r="G15" s="93">
        <f>SUM('ORDENES '!S42)</f>
        <v>0</v>
      </c>
      <c r="H15" s="9">
        <f t="shared" si="14"/>
        <v>4</v>
      </c>
      <c r="I15" s="66">
        <f t="shared" si="1"/>
        <v>0</v>
      </c>
      <c r="J15" s="5">
        <f t="shared" si="2"/>
        <v>0</v>
      </c>
      <c r="K15" s="66">
        <f t="shared" si="3"/>
        <v>0</v>
      </c>
      <c r="L15" s="5">
        <f t="shared" si="4"/>
        <v>0</v>
      </c>
      <c r="M15" s="66">
        <f t="shared" si="5"/>
        <v>0</v>
      </c>
      <c r="N15" s="5">
        <f t="shared" si="6"/>
        <v>0</v>
      </c>
      <c r="O15" s="66">
        <f t="shared" si="7"/>
        <v>560</v>
      </c>
      <c r="P15" s="5">
        <f t="shared" si="8"/>
        <v>640</v>
      </c>
      <c r="Q15" s="66">
        <f t="shared" si="9"/>
        <v>0</v>
      </c>
      <c r="R15" s="5">
        <f t="shared" si="10"/>
        <v>0</v>
      </c>
      <c r="S15" s="10">
        <f>SUM(PRECIOS!C15)</f>
        <v>140</v>
      </c>
      <c r="T15" s="11">
        <f>SUM(PRECIOS!D15)</f>
        <v>160</v>
      </c>
      <c r="U15" s="20">
        <f t="shared" si="11"/>
        <v>560</v>
      </c>
      <c r="V15" s="12">
        <f t="shared" si="12"/>
        <v>640</v>
      </c>
      <c r="W15" s="13">
        <f t="shared" si="13"/>
        <v>80</v>
      </c>
      <c r="X15" s="3"/>
      <c r="Y15" s="17"/>
      <c r="Z15" s="3"/>
      <c r="AA15" s="3"/>
      <c r="AB15" s="3"/>
      <c r="AC15" s="3"/>
    </row>
    <row r="16" spans="1:29">
      <c r="A16" s="1">
        <v>12</v>
      </c>
      <c r="B16" s="70" t="str">
        <f>(PRECIOS!B16)</f>
        <v>CHAMBARETE DE RES</v>
      </c>
      <c r="C16" s="93">
        <f>SUM('ORDENES '!O43)</f>
        <v>0</v>
      </c>
      <c r="D16" s="94">
        <f>SUM('ORDENES '!P43)</f>
        <v>0</v>
      </c>
      <c r="E16" s="93">
        <f>SUM('ORDENES '!Q43)</f>
        <v>0</v>
      </c>
      <c r="F16" s="94">
        <f>SUM('ORDENES '!R43)</f>
        <v>0</v>
      </c>
      <c r="G16" s="93">
        <f>SUM('ORDENES '!S43)</f>
        <v>0</v>
      </c>
      <c r="H16" s="9">
        <f t="shared" si="14"/>
        <v>0</v>
      </c>
      <c r="I16" s="66">
        <f t="shared" si="1"/>
        <v>0</v>
      </c>
      <c r="J16" s="5">
        <f t="shared" si="2"/>
        <v>0</v>
      </c>
      <c r="K16" s="66">
        <f t="shared" si="3"/>
        <v>0</v>
      </c>
      <c r="L16" s="5">
        <f t="shared" si="4"/>
        <v>0</v>
      </c>
      <c r="M16" s="66">
        <f t="shared" si="5"/>
        <v>0</v>
      </c>
      <c r="N16" s="5">
        <f t="shared" si="6"/>
        <v>0</v>
      </c>
      <c r="O16" s="66">
        <f t="shared" si="7"/>
        <v>0</v>
      </c>
      <c r="P16" s="5">
        <f t="shared" si="8"/>
        <v>0</v>
      </c>
      <c r="Q16" s="66">
        <f t="shared" si="9"/>
        <v>0</v>
      </c>
      <c r="R16" s="5">
        <f t="shared" si="10"/>
        <v>0</v>
      </c>
      <c r="S16" s="10">
        <f>SUM(PRECIOS!C16)</f>
        <v>120</v>
      </c>
      <c r="T16" s="11">
        <f>SUM(PRECIOS!D16)</f>
        <v>120</v>
      </c>
      <c r="U16" s="20">
        <f t="shared" si="11"/>
        <v>0</v>
      </c>
      <c r="V16" s="12">
        <f t="shared" si="12"/>
        <v>0</v>
      </c>
      <c r="W16" s="13">
        <f t="shared" si="13"/>
        <v>0</v>
      </c>
      <c r="X16" s="3"/>
      <c r="Y16" s="17"/>
      <c r="Z16" s="3"/>
      <c r="AA16" s="3"/>
      <c r="AB16" s="3"/>
      <c r="AC16" s="3"/>
    </row>
    <row r="17" spans="1:29">
      <c r="A17" s="1">
        <v>13</v>
      </c>
      <c r="B17" s="70" t="str">
        <f>(PRECIOS!B17)</f>
        <v>CUETE DE PIERNA DE RES</v>
      </c>
      <c r="C17" s="93">
        <f>SUM('ORDENES '!O44)</f>
        <v>0</v>
      </c>
      <c r="D17" s="94">
        <f>SUM('ORDENES '!P44)</f>
        <v>0</v>
      </c>
      <c r="E17" s="93">
        <f>SUM('ORDENES '!Q44)</f>
        <v>0</v>
      </c>
      <c r="F17" s="94">
        <f>SUM('ORDENES '!R44)</f>
        <v>0</v>
      </c>
      <c r="G17" s="93">
        <f>SUM('ORDENES '!S44)</f>
        <v>0</v>
      </c>
      <c r="H17" s="9">
        <f t="shared" si="14"/>
        <v>0</v>
      </c>
      <c r="I17" s="66">
        <f t="shared" si="1"/>
        <v>0</v>
      </c>
      <c r="J17" s="5">
        <f t="shared" si="2"/>
        <v>0</v>
      </c>
      <c r="K17" s="66">
        <f t="shared" si="3"/>
        <v>0</v>
      </c>
      <c r="L17" s="5">
        <f t="shared" si="4"/>
        <v>0</v>
      </c>
      <c r="M17" s="66">
        <f t="shared" si="5"/>
        <v>0</v>
      </c>
      <c r="N17" s="5">
        <f t="shared" si="6"/>
        <v>0</v>
      </c>
      <c r="O17" s="66">
        <f t="shared" si="7"/>
        <v>0</v>
      </c>
      <c r="P17" s="5">
        <f t="shared" si="8"/>
        <v>0</v>
      </c>
      <c r="Q17" s="66">
        <f t="shared" si="9"/>
        <v>0</v>
      </c>
      <c r="R17" s="5">
        <f t="shared" si="10"/>
        <v>0</v>
      </c>
      <c r="S17" s="10">
        <f>SUM(PRECIOS!C17)</f>
        <v>89</v>
      </c>
      <c r="T17" s="11">
        <f>SUM(PRECIOS!D17)</f>
        <v>120</v>
      </c>
      <c r="U17" s="20">
        <f t="shared" si="11"/>
        <v>0</v>
      </c>
      <c r="V17" s="12">
        <f t="shared" si="12"/>
        <v>0</v>
      </c>
      <c r="W17" s="13">
        <f t="shared" si="13"/>
        <v>0</v>
      </c>
      <c r="X17" s="3"/>
      <c r="Y17" s="17"/>
      <c r="Z17" s="3"/>
      <c r="AA17" s="3"/>
      <c r="AB17" s="3"/>
      <c r="AC17" s="3"/>
    </row>
    <row r="18" spans="1:29">
      <c r="A18" s="1">
        <v>14</v>
      </c>
      <c r="B18" s="70" t="str">
        <f>(PRECIOS!B18)</f>
        <v>FALDA DE RES</v>
      </c>
      <c r="C18" s="93">
        <f>SUM('ORDENES '!O45)</f>
        <v>0</v>
      </c>
      <c r="D18" s="94">
        <f>SUM('ORDENES '!P45)</f>
        <v>0</v>
      </c>
      <c r="E18" s="93">
        <f>SUM('ORDENES '!Q45)</f>
        <v>0</v>
      </c>
      <c r="F18" s="94">
        <f>SUM('ORDENES '!R45)</f>
        <v>0</v>
      </c>
      <c r="G18" s="93">
        <f>SUM('ORDENES '!S45)</f>
        <v>0</v>
      </c>
      <c r="H18" s="9">
        <f t="shared" si="14"/>
        <v>0</v>
      </c>
      <c r="I18" s="66">
        <f t="shared" si="1"/>
        <v>0</v>
      </c>
      <c r="J18" s="5">
        <f t="shared" si="2"/>
        <v>0</v>
      </c>
      <c r="K18" s="66">
        <f t="shared" si="3"/>
        <v>0</v>
      </c>
      <c r="L18" s="5">
        <f t="shared" si="4"/>
        <v>0</v>
      </c>
      <c r="M18" s="66">
        <f t="shared" si="5"/>
        <v>0</v>
      </c>
      <c r="N18" s="5">
        <f t="shared" si="6"/>
        <v>0</v>
      </c>
      <c r="O18" s="66">
        <f t="shared" si="7"/>
        <v>0</v>
      </c>
      <c r="P18" s="5">
        <f t="shared" si="8"/>
        <v>0</v>
      </c>
      <c r="Q18" s="66">
        <f t="shared" si="9"/>
        <v>0</v>
      </c>
      <c r="R18" s="5">
        <f t="shared" si="10"/>
        <v>0</v>
      </c>
      <c r="S18" s="10">
        <f>SUM(PRECIOS!C18)</f>
        <v>80</v>
      </c>
      <c r="T18" s="11">
        <f>SUM(PRECIOS!D18)</f>
        <v>140</v>
      </c>
      <c r="U18" s="20">
        <f t="shared" si="11"/>
        <v>0</v>
      </c>
      <c r="V18" s="12">
        <f t="shared" si="12"/>
        <v>0</v>
      </c>
      <c r="W18" s="13">
        <f t="shared" si="13"/>
        <v>0</v>
      </c>
      <c r="X18" s="3"/>
      <c r="Y18" s="17"/>
      <c r="Z18" s="3"/>
      <c r="AA18" s="3"/>
      <c r="AB18" s="3"/>
      <c r="AC18" s="3"/>
    </row>
    <row r="19" spans="1:29">
      <c r="A19" s="1">
        <v>15</v>
      </c>
      <c r="B19" s="70" t="str">
        <f>(PRECIOS!B19)</f>
        <v>PULPA DE RES EN TROZO</v>
      </c>
      <c r="C19" s="93">
        <f>SUM('ORDENES '!O46)</f>
        <v>6</v>
      </c>
      <c r="D19" s="94">
        <f>SUM('ORDENES '!P46)</f>
        <v>0</v>
      </c>
      <c r="E19" s="93">
        <f>SUM('ORDENES '!Q46)</f>
        <v>0</v>
      </c>
      <c r="F19" s="94">
        <f>SUM('ORDENES '!R46)</f>
        <v>0</v>
      </c>
      <c r="G19" s="93">
        <f>SUM('ORDENES '!S46)</f>
        <v>0</v>
      </c>
      <c r="H19" s="9">
        <f t="shared" si="14"/>
        <v>6</v>
      </c>
      <c r="I19" s="66">
        <f t="shared" si="1"/>
        <v>540</v>
      </c>
      <c r="J19" s="5">
        <f t="shared" si="2"/>
        <v>870</v>
      </c>
      <c r="K19" s="66">
        <f t="shared" si="3"/>
        <v>0</v>
      </c>
      <c r="L19" s="5">
        <f t="shared" si="4"/>
        <v>0</v>
      </c>
      <c r="M19" s="66">
        <f t="shared" si="5"/>
        <v>0</v>
      </c>
      <c r="N19" s="5">
        <f t="shared" si="6"/>
        <v>0</v>
      </c>
      <c r="O19" s="66">
        <f t="shared" si="7"/>
        <v>0</v>
      </c>
      <c r="P19" s="5">
        <f t="shared" si="8"/>
        <v>0</v>
      </c>
      <c r="Q19" s="66">
        <f t="shared" si="9"/>
        <v>0</v>
      </c>
      <c r="R19" s="5">
        <f t="shared" si="10"/>
        <v>0</v>
      </c>
      <c r="S19" s="10">
        <f>SUM(PRECIOS!C19)</f>
        <v>90</v>
      </c>
      <c r="T19" s="11">
        <f>SUM(PRECIOS!D19)</f>
        <v>145</v>
      </c>
      <c r="U19" s="20">
        <f t="shared" si="11"/>
        <v>540</v>
      </c>
      <c r="V19" s="12">
        <f t="shared" si="12"/>
        <v>870</v>
      </c>
      <c r="W19" s="13">
        <f t="shared" si="13"/>
        <v>330</v>
      </c>
      <c r="X19" s="3"/>
      <c r="Y19" s="17"/>
      <c r="Z19" s="3"/>
      <c r="AA19" s="3"/>
      <c r="AB19" s="3"/>
      <c r="AC19" s="3"/>
    </row>
    <row r="20" spans="1:29">
      <c r="A20" s="1">
        <v>16</v>
      </c>
      <c r="B20" s="70" t="str">
        <f>(PRECIOS!B20)</f>
        <v>PULPA DE RES MOLIDA</v>
      </c>
      <c r="C20" s="93">
        <f>SUM('ORDENES '!O47)</f>
        <v>4</v>
      </c>
      <c r="D20" s="94">
        <f>SUM('ORDENES '!P47)</f>
        <v>2.5</v>
      </c>
      <c r="E20" s="93">
        <f>SUM('ORDENES '!Q47)</f>
        <v>1.5</v>
      </c>
      <c r="F20" s="94">
        <f>SUM('ORDENES '!R47)</f>
        <v>0</v>
      </c>
      <c r="G20" s="93">
        <f>SUM('ORDENES '!S47)</f>
        <v>5</v>
      </c>
      <c r="H20" s="9">
        <f t="shared" si="14"/>
        <v>13</v>
      </c>
      <c r="I20" s="66">
        <f t="shared" si="1"/>
        <v>300</v>
      </c>
      <c r="J20" s="5">
        <f t="shared" si="2"/>
        <v>520</v>
      </c>
      <c r="K20" s="66">
        <f t="shared" si="3"/>
        <v>187.5</v>
      </c>
      <c r="L20" s="5">
        <f t="shared" si="4"/>
        <v>325</v>
      </c>
      <c r="M20" s="66">
        <f t="shared" si="5"/>
        <v>112.5</v>
      </c>
      <c r="N20" s="5">
        <f t="shared" si="6"/>
        <v>195</v>
      </c>
      <c r="O20" s="66">
        <f t="shared" si="7"/>
        <v>0</v>
      </c>
      <c r="P20" s="5">
        <f t="shared" si="8"/>
        <v>0</v>
      </c>
      <c r="Q20" s="66">
        <f t="shared" si="9"/>
        <v>375</v>
      </c>
      <c r="R20" s="5">
        <f t="shared" si="10"/>
        <v>650</v>
      </c>
      <c r="S20" s="10">
        <f>SUM(PRECIOS!C20)</f>
        <v>75</v>
      </c>
      <c r="T20" s="11">
        <f>SUM(PRECIOS!D20)</f>
        <v>130</v>
      </c>
      <c r="U20" s="20">
        <f t="shared" si="11"/>
        <v>975</v>
      </c>
      <c r="V20" s="12">
        <f t="shared" si="12"/>
        <v>1690</v>
      </c>
      <c r="W20" s="13">
        <f t="shared" si="13"/>
        <v>715</v>
      </c>
      <c r="X20" s="3"/>
      <c r="Y20" s="17"/>
      <c r="Z20" s="3"/>
      <c r="AA20" s="3"/>
      <c r="AB20" s="3"/>
      <c r="AC20" s="3"/>
    </row>
    <row r="21" spans="1:29">
      <c r="A21" s="1">
        <v>17</v>
      </c>
      <c r="B21" s="70" t="str">
        <f>(PRECIOS!B21)</f>
        <v>HUEVO ENTERO</v>
      </c>
      <c r="C21" s="93">
        <f>SUM('ORDENES '!O48)</f>
        <v>12</v>
      </c>
      <c r="D21" s="94">
        <f>SUM('ORDENES '!P48)</f>
        <v>5</v>
      </c>
      <c r="E21" s="93">
        <f>SUM('ORDENES '!Q48)</f>
        <v>4</v>
      </c>
      <c r="F21" s="94">
        <f>SUM('ORDENES '!R48)</f>
        <v>5</v>
      </c>
      <c r="G21" s="93">
        <f>SUM('ORDENES '!S48)</f>
        <v>5</v>
      </c>
      <c r="H21" s="9">
        <f t="shared" si="14"/>
        <v>31</v>
      </c>
      <c r="I21" s="66">
        <f t="shared" si="1"/>
        <v>320.39999999999998</v>
      </c>
      <c r="J21" s="5">
        <f t="shared" si="2"/>
        <v>456</v>
      </c>
      <c r="K21" s="66">
        <f t="shared" si="3"/>
        <v>133.5</v>
      </c>
      <c r="L21" s="5">
        <f t="shared" si="4"/>
        <v>190</v>
      </c>
      <c r="M21" s="66">
        <f t="shared" si="5"/>
        <v>106.8</v>
      </c>
      <c r="N21" s="5">
        <f t="shared" si="6"/>
        <v>152</v>
      </c>
      <c r="O21" s="66">
        <f t="shared" si="7"/>
        <v>133.5</v>
      </c>
      <c r="P21" s="5">
        <f t="shared" si="8"/>
        <v>190</v>
      </c>
      <c r="Q21" s="66">
        <f t="shared" si="9"/>
        <v>133.5</v>
      </c>
      <c r="R21" s="5">
        <f t="shared" si="10"/>
        <v>190</v>
      </c>
      <c r="S21" s="10">
        <f>SUM(PRECIOS!C21)</f>
        <v>26.7</v>
      </c>
      <c r="T21" s="11">
        <f>SUM(PRECIOS!D21)</f>
        <v>38</v>
      </c>
      <c r="U21" s="20">
        <f t="shared" si="11"/>
        <v>827.69999999999993</v>
      </c>
      <c r="V21" s="12">
        <f t="shared" si="12"/>
        <v>1178</v>
      </c>
      <c r="W21" s="13">
        <f t="shared" si="13"/>
        <v>350.30000000000007</v>
      </c>
      <c r="X21" s="3"/>
      <c r="Y21" s="17"/>
      <c r="Z21" s="3"/>
      <c r="AA21" s="3"/>
      <c r="AB21" s="3"/>
      <c r="AC21" s="3"/>
    </row>
    <row r="22" spans="1:29" ht="18">
      <c r="A22" s="1">
        <v>18</v>
      </c>
      <c r="B22" s="70" t="str">
        <f>(PRECIOS!B22)</f>
        <v>JAMÓN DE CERDO FINO CON 16% DE PROTEÍNA</v>
      </c>
      <c r="C22" s="93">
        <f>SUM('ORDENES '!O49)</f>
        <v>0</v>
      </c>
      <c r="D22" s="94">
        <f>SUM('ORDENES '!P49)</f>
        <v>0</v>
      </c>
      <c r="E22" s="93">
        <f>SUM('ORDENES '!Q49)</f>
        <v>0</v>
      </c>
      <c r="F22" s="94">
        <f>SUM('ORDENES '!R49)</f>
        <v>0</v>
      </c>
      <c r="G22" s="93">
        <f>SUM('ORDENES '!S49)</f>
        <v>0</v>
      </c>
      <c r="H22" s="9">
        <f t="shared" si="14"/>
        <v>0</v>
      </c>
      <c r="I22" s="66">
        <f t="shared" si="1"/>
        <v>0</v>
      </c>
      <c r="J22" s="5">
        <f t="shared" si="2"/>
        <v>0</v>
      </c>
      <c r="K22" s="66">
        <f t="shared" si="3"/>
        <v>0</v>
      </c>
      <c r="L22" s="5">
        <f t="shared" si="4"/>
        <v>0</v>
      </c>
      <c r="M22" s="66">
        <f t="shared" si="5"/>
        <v>0</v>
      </c>
      <c r="N22" s="5">
        <f t="shared" si="6"/>
        <v>0</v>
      </c>
      <c r="O22" s="66">
        <f t="shared" si="7"/>
        <v>0</v>
      </c>
      <c r="P22" s="5">
        <f t="shared" si="8"/>
        <v>0</v>
      </c>
      <c r="Q22" s="66">
        <f t="shared" si="9"/>
        <v>0</v>
      </c>
      <c r="R22" s="5">
        <f t="shared" si="10"/>
        <v>0</v>
      </c>
      <c r="S22" s="10">
        <f>SUM(PRECIOS!C22)</f>
        <v>80</v>
      </c>
      <c r="T22" s="11">
        <f>SUM(PRECIOS!D22)</f>
        <v>180</v>
      </c>
      <c r="U22" s="20">
        <f t="shared" si="11"/>
        <v>0</v>
      </c>
      <c r="V22" s="12">
        <f t="shared" si="12"/>
        <v>0</v>
      </c>
      <c r="W22" s="13">
        <f t="shared" si="13"/>
        <v>0</v>
      </c>
      <c r="X22" s="3"/>
      <c r="Y22" s="17"/>
      <c r="Z22" s="3"/>
      <c r="AA22" s="3"/>
      <c r="AB22" s="3"/>
      <c r="AC22" s="3"/>
    </row>
    <row r="23" spans="1:29">
      <c r="A23" s="1">
        <v>19</v>
      </c>
      <c r="B23" s="70" t="str">
        <f>(PRECIOS!B23)</f>
        <v>JAMÓN DE PAVO</v>
      </c>
      <c r="C23" s="93">
        <f>SUM('ORDENES '!O50)</f>
        <v>0</v>
      </c>
      <c r="D23" s="94">
        <f>SUM('ORDENES '!P50)</f>
        <v>0</v>
      </c>
      <c r="E23" s="93">
        <f>SUM('ORDENES '!Q50)</f>
        <v>0</v>
      </c>
      <c r="F23" s="94">
        <f>SUM('ORDENES '!R50)</f>
        <v>0</v>
      </c>
      <c r="G23" s="93">
        <f>SUM('ORDENES '!S50)</f>
        <v>0</v>
      </c>
      <c r="H23" s="9">
        <f t="shared" si="14"/>
        <v>0</v>
      </c>
      <c r="I23" s="66">
        <f t="shared" si="1"/>
        <v>0</v>
      </c>
      <c r="J23" s="5">
        <f t="shared" si="2"/>
        <v>0</v>
      </c>
      <c r="K23" s="66">
        <f t="shared" si="3"/>
        <v>0</v>
      </c>
      <c r="L23" s="5">
        <f t="shared" si="4"/>
        <v>0</v>
      </c>
      <c r="M23" s="66">
        <f t="shared" si="5"/>
        <v>0</v>
      </c>
      <c r="N23" s="5">
        <f t="shared" si="6"/>
        <v>0</v>
      </c>
      <c r="O23" s="66">
        <f t="shared" si="7"/>
        <v>0</v>
      </c>
      <c r="P23" s="5">
        <f t="shared" si="8"/>
        <v>0</v>
      </c>
      <c r="Q23" s="66">
        <f t="shared" si="9"/>
        <v>0</v>
      </c>
      <c r="R23" s="5">
        <f t="shared" si="10"/>
        <v>0</v>
      </c>
      <c r="S23" s="10">
        <f>SUM(PRECIOS!C23)</f>
        <v>60</v>
      </c>
      <c r="T23" s="11">
        <f>SUM(PRECIOS!D23)</f>
        <v>120</v>
      </c>
      <c r="U23" s="20">
        <f t="shared" si="11"/>
        <v>0</v>
      </c>
      <c r="V23" s="12">
        <f t="shared" si="12"/>
        <v>0</v>
      </c>
      <c r="W23" s="13">
        <f t="shared" si="13"/>
        <v>0</v>
      </c>
      <c r="X23" s="3"/>
      <c r="Y23" s="17"/>
      <c r="Z23" s="3"/>
      <c r="AA23" s="3"/>
      <c r="AB23" s="3"/>
      <c r="AC23" s="3"/>
    </row>
    <row r="24" spans="1:29" ht="18">
      <c r="A24" s="1">
        <v>20</v>
      </c>
      <c r="B24" s="70" t="str">
        <f>(PRECIOS!B24)</f>
        <v>JAMÓN DE PECHUGA DE PAVO</v>
      </c>
      <c r="C24" s="93">
        <f>SUM('ORDENES '!O51)</f>
        <v>0</v>
      </c>
      <c r="D24" s="94">
        <f>SUM('ORDENES '!P51)</f>
        <v>0</v>
      </c>
      <c r="E24" s="93">
        <f>SUM('ORDENES '!Q51)</f>
        <v>0</v>
      </c>
      <c r="F24" s="94">
        <f>SUM('ORDENES '!R51)</f>
        <v>0</v>
      </c>
      <c r="G24" s="93">
        <f>SUM('ORDENES '!S51)</f>
        <v>0</v>
      </c>
      <c r="H24" s="9">
        <f t="shared" si="14"/>
        <v>0</v>
      </c>
      <c r="I24" s="66">
        <f t="shared" si="1"/>
        <v>0</v>
      </c>
      <c r="J24" s="5">
        <f t="shared" si="2"/>
        <v>0</v>
      </c>
      <c r="K24" s="66">
        <f t="shared" si="3"/>
        <v>0</v>
      </c>
      <c r="L24" s="5">
        <f t="shared" si="4"/>
        <v>0</v>
      </c>
      <c r="M24" s="66">
        <f t="shared" si="5"/>
        <v>0</v>
      </c>
      <c r="N24" s="5">
        <f t="shared" si="6"/>
        <v>0</v>
      </c>
      <c r="O24" s="66">
        <f t="shared" si="7"/>
        <v>0</v>
      </c>
      <c r="P24" s="5">
        <f t="shared" si="8"/>
        <v>0</v>
      </c>
      <c r="Q24" s="66">
        <f t="shared" si="9"/>
        <v>0</v>
      </c>
      <c r="R24" s="5">
        <f t="shared" si="10"/>
        <v>0</v>
      </c>
      <c r="S24" s="10">
        <f>SUM(PRECIOS!C24)</f>
        <v>60</v>
      </c>
      <c r="T24" s="11">
        <f>SUM(PRECIOS!D24)</f>
        <v>140</v>
      </c>
      <c r="U24" s="20">
        <f t="shared" si="11"/>
        <v>0</v>
      </c>
      <c r="V24" s="12">
        <f t="shared" si="12"/>
        <v>0</v>
      </c>
      <c r="W24" s="13">
        <f t="shared" si="13"/>
        <v>0</v>
      </c>
      <c r="X24" s="3"/>
      <c r="Y24" s="17"/>
      <c r="Z24" s="3"/>
      <c r="AA24" s="3"/>
      <c r="AB24" s="3"/>
      <c r="AC24" s="3"/>
    </row>
    <row r="25" spans="1:29">
      <c r="A25" s="1">
        <v>21</v>
      </c>
      <c r="B25" s="70" t="str">
        <f>(PRECIOS!B25)</f>
        <v>MORTADELA</v>
      </c>
      <c r="C25" s="93">
        <f>SUM('ORDENES '!O52)</f>
        <v>0</v>
      </c>
      <c r="D25" s="94">
        <f>SUM('ORDENES '!P52)</f>
        <v>0</v>
      </c>
      <c r="E25" s="93">
        <f>SUM('ORDENES '!Q52)</f>
        <v>0</v>
      </c>
      <c r="F25" s="94">
        <f>SUM('ORDENES '!R52)</f>
        <v>0</v>
      </c>
      <c r="G25" s="93">
        <f>SUM('ORDENES '!S52)</f>
        <v>0</v>
      </c>
      <c r="H25" s="9">
        <f t="shared" si="14"/>
        <v>0</v>
      </c>
      <c r="I25" s="66">
        <f t="shared" si="1"/>
        <v>0</v>
      </c>
      <c r="J25" s="5">
        <f t="shared" si="2"/>
        <v>0</v>
      </c>
      <c r="K25" s="66">
        <f t="shared" si="3"/>
        <v>0</v>
      </c>
      <c r="L25" s="5">
        <f t="shared" si="4"/>
        <v>0</v>
      </c>
      <c r="M25" s="66">
        <f t="shared" si="5"/>
        <v>0</v>
      </c>
      <c r="N25" s="5">
        <f t="shared" si="6"/>
        <v>0</v>
      </c>
      <c r="O25" s="66">
        <f t="shared" si="7"/>
        <v>0</v>
      </c>
      <c r="P25" s="5">
        <f t="shared" si="8"/>
        <v>0</v>
      </c>
      <c r="Q25" s="66">
        <f t="shared" si="9"/>
        <v>0</v>
      </c>
      <c r="R25" s="5">
        <f t="shared" si="10"/>
        <v>0</v>
      </c>
      <c r="S25" s="10">
        <f>SUM(PRECIOS!C25)</f>
        <v>28</v>
      </c>
      <c r="T25" s="11">
        <f>SUM(PRECIOS!D25)</f>
        <v>40</v>
      </c>
      <c r="U25" s="20">
        <f t="shared" si="11"/>
        <v>0</v>
      </c>
      <c r="V25" s="12">
        <f t="shared" si="12"/>
        <v>0</v>
      </c>
      <c r="W25" s="13">
        <f t="shared" si="13"/>
        <v>0</v>
      </c>
      <c r="X25" s="3"/>
      <c r="Y25" s="17"/>
      <c r="Z25" s="3"/>
      <c r="AA25" s="3"/>
      <c r="AB25" s="3"/>
      <c r="AC25" s="3"/>
    </row>
    <row r="26" spans="1:29" ht="18">
      <c r="A26" s="1">
        <v>22</v>
      </c>
      <c r="B26" s="70" t="str">
        <f>(PRECIOS!B26)</f>
        <v>SALCHICHA DE CERDO VIENA</v>
      </c>
      <c r="C26" s="93">
        <f>SUM('ORDENES '!O53)</f>
        <v>0</v>
      </c>
      <c r="D26" s="94">
        <f>SUM('ORDENES '!P53)</f>
        <v>0</v>
      </c>
      <c r="E26" s="93">
        <f>SUM('ORDENES '!Q53)</f>
        <v>0</v>
      </c>
      <c r="F26" s="94">
        <f>SUM('ORDENES '!R53)</f>
        <v>0</v>
      </c>
      <c r="G26" s="93">
        <f>SUM('ORDENES '!S53)</f>
        <v>0</v>
      </c>
      <c r="H26" s="9">
        <f t="shared" si="14"/>
        <v>0</v>
      </c>
      <c r="I26" s="66">
        <f t="shared" si="1"/>
        <v>0</v>
      </c>
      <c r="J26" s="5">
        <f t="shared" si="2"/>
        <v>0</v>
      </c>
      <c r="K26" s="66">
        <f t="shared" si="3"/>
        <v>0</v>
      </c>
      <c r="L26" s="5">
        <f t="shared" si="4"/>
        <v>0</v>
      </c>
      <c r="M26" s="66">
        <f t="shared" si="5"/>
        <v>0</v>
      </c>
      <c r="N26" s="5">
        <f t="shared" si="6"/>
        <v>0</v>
      </c>
      <c r="O26" s="66">
        <f t="shared" si="7"/>
        <v>0</v>
      </c>
      <c r="P26" s="5">
        <f t="shared" si="8"/>
        <v>0</v>
      </c>
      <c r="Q26" s="66">
        <f t="shared" si="9"/>
        <v>0</v>
      </c>
      <c r="R26" s="5">
        <f t="shared" si="10"/>
        <v>0</v>
      </c>
      <c r="S26" s="10">
        <f>SUM(PRECIOS!C26)</f>
        <v>32</v>
      </c>
      <c r="T26" s="11">
        <f>SUM(PRECIOS!D26)</f>
        <v>40</v>
      </c>
      <c r="U26" s="20">
        <f t="shared" si="11"/>
        <v>0</v>
      </c>
      <c r="V26" s="12">
        <f t="shared" si="12"/>
        <v>0</v>
      </c>
      <c r="W26" s="13">
        <f t="shared" si="13"/>
        <v>0</v>
      </c>
      <c r="X26" s="3"/>
      <c r="Y26" s="17"/>
      <c r="Z26" s="3"/>
      <c r="AA26" s="3"/>
      <c r="AB26" s="3"/>
      <c r="AC26" s="3"/>
    </row>
    <row r="27" spans="1:29">
      <c r="A27" s="1">
        <v>23</v>
      </c>
      <c r="B27" s="70" t="str">
        <f>(PRECIOS!B27)</f>
        <v>SALCHICHA DE PAVO VIENA</v>
      </c>
      <c r="C27" s="93">
        <f>SUM('ORDENES '!O54)</f>
        <v>0</v>
      </c>
      <c r="D27" s="94">
        <f>SUM('ORDENES '!P54)</f>
        <v>0</v>
      </c>
      <c r="E27" s="93">
        <f>SUM('ORDENES '!Q54)</f>
        <v>0</v>
      </c>
      <c r="F27" s="94">
        <f>SUM('ORDENES '!R54)</f>
        <v>0</v>
      </c>
      <c r="G27" s="93">
        <f>SUM('ORDENES '!S54)</f>
        <v>0</v>
      </c>
      <c r="H27" s="9">
        <f t="shared" si="14"/>
        <v>0</v>
      </c>
      <c r="I27" s="66">
        <f t="shared" si="1"/>
        <v>0</v>
      </c>
      <c r="J27" s="5">
        <f t="shared" si="2"/>
        <v>0</v>
      </c>
      <c r="K27" s="66">
        <f t="shared" si="3"/>
        <v>0</v>
      </c>
      <c r="L27" s="5">
        <f t="shared" si="4"/>
        <v>0</v>
      </c>
      <c r="M27" s="66">
        <f t="shared" si="5"/>
        <v>0</v>
      </c>
      <c r="N27" s="5">
        <f t="shared" si="6"/>
        <v>0</v>
      </c>
      <c r="O27" s="66">
        <f t="shared" si="7"/>
        <v>0</v>
      </c>
      <c r="P27" s="5">
        <f t="shared" si="8"/>
        <v>0</v>
      </c>
      <c r="Q27" s="66">
        <f t="shared" si="9"/>
        <v>0</v>
      </c>
      <c r="R27" s="5">
        <f t="shared" si="10"/>
        <v>0</v>
      </c>
      <c r="S27" s="10">
        <f>SUM(PRECIOS!C27)</f>
        <v>38</v>
      </c>
      <c r="T27" s="11">
        <f>SUM(PRECIOS!D27)</f>
        <v>50</v>
      </c>
      <c r="U27" s="20">
        <f t="shared" si="11"/>
        <v>0</v>
      </c>
      <c r="V27" s="12">
        <f t="shared" si="12"/>
        <v>0</v>
      </c>
      <c r="W27" s="13">
        <f t="shared" si="13"/>
        <v>0</v>
      </c>
      <c r="X27" s="3"/>
      <c r="Y27" s="17"/>
      <c r="Z27" s="3"/>
      <c r="AA27" s="3"/>
      <c r="AB27" s="3"/>
      <c r="AC27" s="3"/>
    </row>
    <row r="28" spans="1:29">
      <c r="A28" s="1">
        <v>24</v>
      </c>
      <c r="B28" s="70" t="str">
        <f>(PRECIOS!B28)</f>
        <v>TOCINO</v>
      </c>
      <c r="C28" s="93">
        <f>SUM('ORDENES '!O55)</f>
        <v>0</v>
      </c>
      <c r="D28" s="94">
        <f>SUM('ORDENES '!P55)</f>
        <v>0</v>
      </c>
      <c r="E28" s="93">
        <f>SUM('ORDENES '!Q55)</f>
        <v>0</v>
      </c>
      <c r="F28" s="94">
        <f>SUM('ORDENES '!R55)</f>
        <v>0</v>
      </c>
      <c r="G28" s="93">
        <f>SUM('ORDENES '!S55)</f>
        <v>0</v>
      </c>
      <c r="H28" s="9">
        <f t="shared" si="14"/>
        <v>0</v>
      </c>
      <c r="I28" s="66">
        <f t="shared" si="1"/>
        <v>0</v>
      </c>
      <c r="J28" s="5">
        <f t="shared" si="2"/>
        <v>0</v>
      </c>
      <c r="K28" s="66">
        <f t="shared" si="3"/>
        <v>0</v>
      </c>
      <c r="L28" s="5">
        <f t="shared" si="4"/>
        <v>0</v>
      </c>
      <c r="M28" s="66">
        <f t="shared" si="5"/>
        <v>0</v>
      </c>
      <c r="N28" s="5">
        <f t="shared" si="6"/>
        <v>0</v>
      </c>
      <c r="O28" s="66">
        <f t="shared" si="7"/>
        <v>0</v>
      </c>
      <c r="P28" s="5">
        <f t="shared" si="8"/>
        <v>0</v>
      </c>
      <c r="Q28" s="66">
        <f t="shared" si="9"/>
        <v>0</v>
      </c>
      <c r="R28" s="5">
        <f t="shared" si="10"/>
        <v>0</v>
      </c>
      <c r="S28" s="10">
        <f>SUM(PRECIOS!C28)</f>
        <v>90</v>
      </c>
      <c r="T28" s="11">
        <f>SUM(PRECIOS!D28)</f>
        <v>140</v>
      </c>
      <c r="U28" s="20">
        <f t="shared" si="11"/>
        <v>0</v>
      </c>
      <c r="V28" s="12">
        <f t="shared" si="12"/>
        <v>0</v>
      </c>
      <c r="W28" s="13">
        <f t="shared" si="13"/>
        <v>0</v>
      </c>
      <c r="X28" s="3"/>
      <c r="Y28" s="17"/>
      <c r="Z28" s="3"/>
      <c r="AA28" s="3"/>
      <c r="AB28" s="3"/>
      <c r="AC28" s="3"/>
    </row>
    <row r="29" spans="1:29">
      <c r="A29" s="73"/>
      <c r="B29" s="68"/>
      <c r="C29" s="3"/>
      <c r="D29" s="3"/>
      <c r="E29" s="3"/>
      <c r="F29" s="3"/>
      <c r="G29" s="3"/>
      <c r="H29" s="19">
        <f t="shared" ref="H29:O29" si="28">SUM(H4:H28)</f>
        <v>89</v>
      </c>
      <c r="I29" s="20">
        <f t="shared" si="28"/>
        <v>1898.4</v>
      </c>
      <c r="J29" s="15">
        <f t="shared" si="28"/>
        <v>3346</v>
      </c>
      <c r="K29" s="20">
        <f t="shared" si="28"/>
        <v>1359</v>
      </c>
      <c r="L29" s="15">
        <f t="shared" si="28"/>
        <v>2585</v>
      </c>
      <c r="M29" s="20">
        <f t="shared" si="28"/>
        <v>403.8</v>
      </c>
      <c r="N29" s="15">
        <f t="shared" si="28"/>
        <v>722</v>
      </c>
      <c r="O29" s="20">
        <f t="shared" si="28"/>
        <v>1062.5</v>
      </c>
      <c r="P29" s="15">
        <f t="shared" ref="P29:R29" si="29">SUM(P4:P28)</f>
        <v>1580</v>
      </c>
      <c r="Q29" s="20">
        <f t="shared" si="29"/>
        <v>619.20000000000005</v>
      </c>
      <c r="R29" s="15">
        <f t="shared" si="29"/>
        <v>1065</v>
      </c>
      <c r="S29" s="18"/>
      <c r="T29" s="18"/>
      <c r="U29" s="14">
        <f>SUM(I29,K29,M29,O29,Q29)</f>
        <v>5342.9000000000005</v>
      </c>
      <c r="V29" s="76">
        <f>SUM(J29,L29,N29,P29,R29)</f>
        <v>9298</v>
      </c>
      <c r="W29" s="76">
        <f>SUM(V29-U29)</f>
        <v>3955.0999999999995</v>
      </c>
      <c r="X29" s="3"/>
      <c r="Y29" s="17"/>
      <c r="Z29" s="3"/>
      <c r="AA29" s="3"/>
      <c r="AB29" s="3"/>
      <c r="AC29" s="3"/>
    </row>
    <row r="30" spans="1:29">
      <c r="A30" s="73"/>
      <c r="B30" s="68"/>
      <c r="C30" s="3"/>
      <c r="D30" s="3"/>
      <c r="E30" s="3"/>
      <c r="F30" s="3"/>
      <c r="G30" s="3"/>
      <c r="H30" s="3"/>
      <c r="I30" s="74"/>
      <c r="J30" s="18"/>
      <c r="K30" s="74"/>
      <c r="L30" s="18"/>
      <c r="M30" s="74"/>
      <c r="N30" s="18"/>
      <c r="O30" s="74"/>
      <c r="P30" s="18"/>
      <c r="Q30" s="74"/>
      <c r="R30" s="18"/>
      <c r="S30" s="18"/>
      <c r="T30" s="18"/>
      <c r="U30" s="18"/>
      <c r="V30" s="18"/>
      <c r="W30" s="18"/>
      <c r="X30" s="3"/>
      <c r="Y30" s="17"/>
      <c r="Z30" s="3"/>
      <c r="AA30" s="3"/>
      <c r="AB30" s="3"/>
      <c r="AC30" s="3"/>
    </row>
    <row r="31" spans="1:29">
      <c r="Y31" s="17"/>
      <c r="Z31" s="3"/>
      <c r="AA31" s="3"/>
      <c r="AB31" s="3"/>
      <c r="AC31" s="3"/>
    </row>
    <row r="32" spans="1:29">
      <c r="A32" s="73"/>
      <c r="B32" s="68"/>
      <c r="C32" s="3"/>
      <c r="D32" s="3"/>
      <c r="E32" s="3"/>
      <c r="F32" s="3"/>
      <c r="G32" s="3"/>
      <c r="H32" s="3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3"/>
      <c r="Y32" s="17"/>
      <c r="Z32" s="3"/>
      <c r="AA32" s="3"/>
      <c r="AB32" s="3"/>
      <c r="AC32" s="3"/>
    </row>
    <row r="33" spans="1:29">
      <c r="A33" s="73"/>
      <c r="B33" s="69"/>
      <c r="C33" s="3"/>
      <c r="D33" s="3"/>
      <c r="E33" s="3"/>
      <c r="F33" s="3"/>
      <c r="G33" s="3"/>
      <c r="H33" s="3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3"/>
      <c r="Y33" s="17"/>
      <c r="Z33" s="3"/>
      <c r="AA33" s="3"/>
      <c r="AB33" s="3"/>
      <c r="AC33" s="3"/>
    </row>
    <row r="34" spans="1:29">
      <c r="A34" s="73"/>
      <c r="B34" s="69"/>
      <c r="C34" s="3"/>
      <c r="D34" s="3"/>
      <c r="E34" s="3"/>
      <c r="F34" s="3"/>
      <c r="G34" s="3"/>
      <c r="H34" s="3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3"/>
      <c r="Y34" s="17"/>
      <c r="Z34" s="3"/>
      <c r="AA34" s="3"/>
      <c r="AB34" s="3"/>
      <c r="AC34" s="3"/>
    </row>
    <row r="35" spans="1:29">
      <c r="A35" s="73"/>
      <c r="B35" s="68"/>
      <c r="C35" s="3"/>
      <c r="D35" s="3"/>
      <c r="E35" s="3"/>
      <c r="F35" s="3"/>
      <c r="G35" s="3"/>
      <c r="H35" s="3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3"/>
      <c r="Y35" s="17"/>
      <c r="Z35" s="3"/>
      <c r="AA35" s="3"/>
      <c r="AB35" s="3"/>
      <c r="AC35" s="3"/>
    </row>
    <row r="36" spans="1:29">
      <c r="A36" s="73"/>
      <c r="B36" s="68"/>
      <c r="C36" s="3"/>
      <c r="D36" s="3"/>
      <c r="E36" s="3"/>
      <c r="F36" s="3"/>
      <c r="G36" s="3"/>
      <c r="H36" s="3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3"/>
      <c r="Y36" s="17"/>
      <c r="Z36" s="3"/>
      <c r="AA36" s="3"/>
      <c r="AB36" s="3"/>
      <c r="AC36" s="3"/>
    </row>
    <row r="37" spans="1:29">
      <c r="A37" s="73"/>
      <c r="B37" s="68"/>
      <c r="C37" s="3"/>
      <c r="D37" s="3"/>
      <c r="E37" s="3"/>
      <c r="F37" s="3"/>
      <c r="G37" s="3"/>
      <c r="H37" s="3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3"/>
      <c r="Y37" s="17"/>
      <c r="Z37" s="3"/>
      <c r="AA37" s="3"/>
      <c r="AB37" s="3"/>
      <c r="AC37" s="3"/>
    </row>
    <row r="38" spans="1:29">
      <c r="A38" s="73"/>
      <c r="B38" s="68"/>
      <c r="C38" s="3"/>
      <c r="D38" s="3"/>
      <c r="E38" s="3"/>
      <c r="F38" s="3"/>
      <c r="G38" s="3"/>
      <c r="H38" s="3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3"/>
      <c r="Y38" s="17"/>
      <c r="Z38" s="3"/>
      <c r="AA38" s="3"/>
      <c r="AB38" s="3"/>
      <c r="AC38" s="3"/>
    </row>
    <row r="39" spans="1:29">
      <c r="A39" s="73"/>
      <c r="B39" s="68"/>
      <c r="C39" s="3"/>
      <c r="D39" s="3"/>
      <c r="E39" s="3"/>
      <c r="F39" s="3"/>
      <c r="G39" s="3"/>
      <c r="H39" s="3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3"/>
      <c r="Y39" s="17"/>
      <c r="Z39" s="3"/>
      <c r="AA39" s="3"/>
      <c r="AB39" s="3"/>
      <c r="AC39" s="3"/>
    </row>
    <row r="40" spans="1:29">
      <c r="A40" s="73"/>
      <c r="B40" s="68"/>
      <c r="C40" s="3"/>
      <c r="D40" s="3"/>
      <c r="E40" s="3"/>
      <c r="F40" s="3"/>
      <c r="G40" s="3"/>
      <c r="H40" s="3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3"/>
      <c r="Y40" s="17"/>
      <c r="Z40" s="3"/>
      <c r="AA40" s="3"/>
      <c r="AB40" s="3"/>
      <c r="AC40" s="3"/>
    </row>
    <row r="41" spans="1:29">
      <c r="A41" s="73"/>
      <c r="B41" s="68"/>
      <c r="C41" s="3"/>
      <c r="D41" s="3"/>
      <c r="E41" s="3"/>
      <c r="F41" s="3"/>
      <c r="G41" s="3"/>
      <c r="H41" s="3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3"/>
      <c r="Y41" s="17"/>
      <c r="Z41" s="3"/>
      <c r="AA41" s="3"/>
      <c r="AB41" s="3"/>
      <c r="AC41" s="3"/>
    </row>
    <row r="42" spans="1:29">
      <c r="A42" s="73"/>
      <c r="B42" s="68"/>
      <c r="C42" s="3"/>
      <c r="D42" s="3"/>
      <c r="E42" s="3"/>
      <c r="F42" s="3"/>
      <c r="G42" s="3"/>
      <c r="H42" s="3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3"/>
      <c r="Y42" s="17"/>
      <c r="Z42" s="3"/>
      <c r="AA42" s="3"/>
      <c r="AB42" s="3"/>
      <c r="AC42" s="3"/>
    </row>
    <row r="43" spans="1:29">
      <c r="A43" s="73"/>
      <c r="B43" s="68"/>
      <c r="C43" s="3"/>
      <c r="D43" s="3"/>
      <c r="E43" s="3"/>
      <c r="F43" s="3"/>
      <c r="G43" s="3"/>
      <c r="H43" s="3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3"/>
      <c r="Y43" s="17"/>
      <c r="Z43" s="3"/>
      <c r="AA43" s="3"/>
      <c r="AB43" s="3"/>
      <c r="AC43" s="3"/>
    </row>
    <row r="44" spans="1:29">
      <c r="A44" s="73"/>
      <c r="B44" s="68"/>
      <c r="C44" s="3"/>
      <c r="D44" s="3"/>
      <c r="E44" s="3"/>
      <c r="F44" s="3"/>
      <c r="G44" s="3"/>
      <c r="H44" s="3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3"/>
      <c r="Y44" s="17"/>
      <c r="Z44" s="3"/>
      <c r="AA44" s="3"/>
      <c r="AB44" s="3"/>
      <c r="AC44" s="3"/>
    </row>
    <row r="45" spans="1:29">
      <c r="A45" s="73"/>
      <c r="B45" s="68"/>
      <c r="C45" s="3"/>
      <c r="D45" s="3"/>
      <c r="E45" s="3"/>
      <c r="F45" s="3"/>
      <c r="G45" s="3"/>
      <c r="H45" s="3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3"/>
      <c r="Y45" s="17"/>
      <c r="Z45" s="3"/>
      <c r="AA45" s="3"/>
      <c r="AB45" s="3"/>
      <c r="AC45" s="3"/>
    </row>
    <row r="46" spans="1:29">
      <c r="A46" s="73"/>
      <c r="B46" s="68"/>
      <c r="C46" s="3"/>
      <c r="D46" s="3"/>
      <c r="E46" s="3"/>
      <c r="F46" s="3"/>
      <c r="G46" s="3"/>
      <c r="H46" s="3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3"/>
      <c r="Y46" s="17"/>
      <c r="Z46" s="3"/>
      <c r="AA46" s="3"/>
      <c r="AB46" s="3"/>
      <c r="AC46" s="3"/>
    </row>
    <row r="47" spans="1:29">
      <c r="A47" s="73"/>
      <c r="B47" s="69"/>
      <c r="C47" s="3"/>
      <c r="D47" s="3"/>
      <c r="E47" s="3"/>
      <c r="F47" s="3"/>
      <c r="G47" s="3"/>
      <c r="H47" s="3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3"/>
      <c r="Y47" s="3"/>
      <c r="Z47" s="3"/>
      <c r="AA47" s="3"/>
      <c r="AB47" s="3"/>
      <c r="AC47" s="3"/>
    </row>
    <row r="48" spans="1:29">
      <c r="A48" s="73"/>
      <c r="B48" s="69"/>
      <c r="C48" s="3"/>
      <c r="D48" s="3"/>
      <c r="E48" s="3"/>
      <c r="F48" s="3"/>
      <c r="G48" s="3"/>
      <c r="H48" s="3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3"/>
      <c r="Y48" s="16"/>
      <c r="Z48" s="3"/>
      <c r="AA48" s="3"/>
      <c r="AB48" s="3"/>
      <c r="AC48" s="3"/>
    </row>
    <row r="49" spans="1:29">
      <c r="A49" s="73"/>
      <c r="B49" s="68"/>
      <c r="C49" s="3"/>
      <c r="D49" s="3"/>
      <c r="E49" s="3"/>
      <c r="F49" s="3"/>
      <c r="G49" s="3"/>
      <c r="H49" s="3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3"/>
      <c r="Y49" s="16"/>
      <c r="Z49" s="3"/>
      <c r="AA49" s="3"/>
      <c r="AB49" s="3"/>
      <c r="AC49" s="3"/>
    </row>
    <row r="50" spans="1:29">
      <c r="A50" s="73"/>
      <c r="B50" s="68"/>
      <c r="C50" s="3"/>
      <c r="D50" s="3"/>
      <c r="E50" s="3"/>
      <c r="F50" s="3"/>
      <c r="G50" s="3"/>
      <c r="H50" s="3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3"/>
      <c r="Y50" s="16"/>
      <c r="Z50" s="3"/>
      <c r="AA50" s="3"/>
      <c r="AB50" s="3"/>
      <c r="AC50" s="3"/>
    </row>
    <row r="51" spans="1:29">
      <c r="A51" s="73"/>
      <c r="B51" s="68"/>
      <c r="C51" s="3"/>
      <c r="D51" s="3"/>
      <c r="E51" s="3"/>
      <c r="F51" s="3"/>
      <c r="G51" s="3"/>
      <c r="H51" s="3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3"/>
      <c r="Y51" s="16"/>
      <c r="Z51" s="3"/>
      <c r="AA51" s="3"/>
      <c r="AB51" s="3"/>
      <c r="AC51" s="3"/>
    </row>
    <row r="52" spans="1:29">
      <c r="A52" s="73"/>
      <c r="B52" s="68"/>
      <c r="C52" s="3"/>
      <c r="D52" s="3"/>
      <c r="E52" s="3"/>
      <c r="F52" s="3"/>
      <c r="G52" s="3"/>
      <c r="H52" s="3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3"/>
      <c r="Y52" s="3"/>
      <c r="Z52" s="3"/>
      <c r="AA52" s="3"/>
      <c r="AB52" s="3"/>
      <c r="AC52" s="3"/>
    </row>
    <row r="53" spans="1:29">
      <c r="A53" s="73"/>
      <c r="B53" s="69"/>
      <c r="C53" s="3"/>
      <c r="D53" s="3"/>
      <c r="E53" s="3"/>
      <c r="F53" s="3"/>
      <c r="G53" s="3"/>
      <c r="H53" s="3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3"/>
      <c r="Y53" s="3"/>
      <c r="Z53" s="3"/>
      <c r="AA53" s="3"/>
      <c r="AB53" s="3"/>
      <c r="AC53" s="3"/>
    </row>
    <row r="54" spans="1:29">
      <c r="A54" s="73"/>
      <c r="B54" s="68"/>
      <c r="C54" s="3"/>
      <c r="D54" s="3"/>
      <c r="E54" s="3"/>
      <c r="F54" s="3"/>
      <c r="G54" s="3"/>
      <c r="H54" s="3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3"/>
      <c r="Y54" s="18"/>
      <c r="Z54" s="3"/>
      <c r="AA54" s="3"/>
      <c r="AB54" s="3"/>
      <c r="AC54" s="3"/>
    </row>
    <row r="55" spans="1:29">
      <c r="A55" s="73"/>
      <c r="B55" s="68"/>
      <c r="C55" s="3"/>
      <c r="D55" s="3"/>
      <c r="E55" s="3"/>
      <c r="F55" s="3"/>
      <c r="G55" s="3"/>
      <c r="H55" s="3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3"/>
      <c r="Y55" s="18"/>
      <c r="Z55" s="3"/>
      <c r="AA55" s="3"/>
      <c r="AB55" s="3"/>
      <c r="AC55" s="3"/>
    </row>
    <row r="56" spans="1:29">
      <c r="A56" s="73"/>
      <c r="B56" s="68"/>
      <c r="C56" s="3"/>
      <c r="D56" s="3"/>
      <c r="E56" s="3"/>
      <c r="F56" s="3"/>
      <c r="G56" s="3"/>
      <c r="H56" s="3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3"/>
      <c r="Y56" s="18"/>
      <c r="Z56" s="3"/>
      <c r="AA56" s="3"/>
      <c r="AB56" s="3"/>
      <c r="AC56" s="3"/>
    </row>
    <row r="57" spans="1:29">
      <c r="A57" s="73"/>
      <c r="B57" s="68"/>
      <c r="C57" s="3"/>
      <c r="D57" s="3"/>
      <c r="E57" s="3"/>
      <c r="F57" s="3"/>
      <c r="G57" s="3"/>
      <c r="H57" s="3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3"/>
      <c r="Y57" s="18"/>
      <c r="Z57" s="3"/>
      <c r="AA57" s="3"/>
      <c r="AB57" s="3"/>
      <c r="AC57" s="3"/>
    </row>
    <row r="58" spans="1:29">
      <c r="A58" s="73"/>
      <c r="B58" s="68"/>
      <c r="C58" s="3"/>
      <c r="D58" s="3"/>
      <c r="E58" s="3"/>
      <c r="F58" s="3"/>
      <c r="G58" s="3"/>
      <c r="H58" s="3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3"/>
      <c r="Y58" s="18"/>
      <c r="Z58" s="3"/>
      <c r="AA58" s="3"/>
      <c r="AB58" s="3"/>
      <c r="AC58" s="3"/>
    </row>
    <row r="59" spans="1:29">
      <c r="A59" s="73"/>
      <c r="B59" s="68"/>
      <c r="C59" s="3"/>
      <c r="D59" s="3"/>
      <c r="E59" s="3"/>
      <c r="F59" s="3"/>
      <c r="G59" s="3"/>
      <c r="H59" s="3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3"/>
      <c r="Y59" s="18"/>
      <c r="Z59" s="3"/>
      <c r="AA59" s="3"/>
      <c r="AB59" s="3"/>
      <c r="AC59" s="3"/>
    </row>
    <row r="60" spans="1:29">
      <c r="A60" s="73"/>
      <c r="B60" s="68"/>
      <c r="C60" s="3"/>
      <c r="D60" s="3"/>
      <c r="E60" s="3"/>
      <c r="F60" s="3"/>
      <c r="G60" s="3"/>
      <c r="H60" s="3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3"/>
      <c r="Y60" s="18"/>
      <c r="Z60" s="3"/>
      <c r="AA60" s="3"/>
      <c r="AB60" s="3"/>
      <c r="AC60" s="3"/>
    </row>
    <row r="61" spans="1:29">
      <c r="A61" s="73"/>
      <c r="B61" s="68"/>
      <c r="C61" s="3"/>
      <c r="D61" s="3"/>
      <c r="E61" s="3"/>
      <c r="F61" s="3"/>
      <c r="G61" s="3"/>
      <c r="H61" s="3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3"/>
      <c r="Y61" s="18"/>
      <c r="Z61" s="3"/>
      <c r="AA61" s="3"/>
      <c r="AB61" s="3"/>
      <c r="AC61" s="3"/>
    </row>
    <row r="62" spans="1:29">
      <c r="A62" s="73"/>
      <c r="B62" s="68"/>
      <c r="C62" s="3"/>
      <c r="D62" s="3"/>
      <c r="E62" s="3"/>
      <c r="F62" s="3"/>
      <c r="G62" s="3"/>
      <c r="H62" s="3"/>
      <c r="I62" s="18"/>
      <c r="J62" s="18"/>
      <c r="K62" s="18"/>
      <c r="L62" s="75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3"/>
      <c r="Y62" s="18"/>
      <c r="Z62" s="3"/>
      <c r="AA62" s="3"/>
      <c r="AB62" s="3"/>
      <c r="AC62" s="3"/>
    </row>
    <row r="63" spans="1:29">
      <c r="A63" s="73"/>
      <c r="B63" s="68"/>
      <c r="C63" s="3"/>
      <c r="D63" s="3"/>
      <c r="E63" s="3"/>
      <c r="F63" s="3"/>
      <c r="G63" s="3"/>
      <c r="H63" s="3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3"/>
      <c r="Y63" s="18"/>
      <c r="Z63" s="3"/>
      <c r="AA63" s="3"/>
      <c r="AB63" s="3"/>
      <c r="AC63" s="3"/>
    </row>
    <row r="64" spans="1:29">
      <c r="A64" s="73"/>
      <c r="B64" s="68"/>
      <c r="C64" s="3"/>
      <c r="D64" s="3"/>
      <c r="E64" s="3"/>
      <c r="F64" s="3"/>
      <c r="G64" s="3"/>
      <c r="H64" s="3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3"/>
      <c r="Y64" s="18"/>
      <c r="Z64" s="3"/>
      <c r="AA64" s="3"/>
      <c r="AB64" s="3"/>
      <c r="AC64" s="3"/>
    </row>
    <row r="65" spans="1:29">
      <c r="A65" s="73"/>
      <c r="B65" s="68"/>
      <c r="C65" s="3"/>
      <c r="D65" s="3"/>
      <c r="E65" s="3"/>
      <c r="F65" s="3"/>
      <c r="G65" s="3"/>
      <c r="H65" s="3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3"/>
      <c r="Y65" s="18"/>
      <c r="Z65" s="3"/>
      <c r="AA65" s="3"/>
      <c r="AB65" s="3"/>
      <c r="AC65" s="3"/>
    </row>
    <row r="66" spans="1:29">
      <c r="A66" s="73"/>
      <c r="B66" s="68"/>
      <c r="C66" s="3"/>
      <c r="D66" s="3"/>
      <c r="E66" s="3"/>
      <c r="F66" s="3"/>
      <c r="G66" s="3"/>
      <c r="H66" s="3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3"/>
      <c r="Y66" s="18"/>
      <c r="Z66" s="3"/>
      <c r="AA66" s="3"/>
      <c r="AB66" s="3"/>
      <c r="AC66" s="3"/>
    </row>
    <row r="67" spans="1:29">
      <c r="A67" s="73"/>
      <c r="B67" s="68"/>
      <c r="C67" s="3"/>
      <c r="D67" s="3"/>
      <c r="E67" s="3"/>
      <c r="F67" s="3"/>
      <c r="G67" s="3"/>
      <c r="H67" s="3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3"/>
      <c r="Y67" s="18"/>
      <c r="Z67" s="3"/>
      <c r="AA67" s="3"/>
      <c r="AB67" s="3"/>
      <c r="AC67" s="3"/>
    </row>
    <row r="68" spans="1:29">
      <c r="A68" s="73"/>
      <c r="B68" s="68"/>
      <c r="C68" s="3"/>
      <c r="D68" s="3"/>
      <c r="E68" s="3"/>
      <c r="F68" s="3"/>
      <c r="G68" s="3"/>
      <c r="H68" s="3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3"/>
      <c r="Y68" s="18"/>
      <c r="Z68" s="3"/>
      <c r="AA68" s="3"/>
      <c r="AB68" s="3"/>
      <c r="AC68" s="3"/>
    </row>
    <row r="69" spans="1:29">
      <c r="A69" s="73"/>
      <c r="B69" s="68"/>
      <c r="C69" s="3"/>
      <c r="D69" s="3"/>
      <c r="E69" s="3"/>
      <c r="F69" s="3"/>
      <c r="G69" s="3"/>
      <c r="H69" s="3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3"/>
      <c r="Y69" s="18"/>
      <c r="Z69" s="3"/>
      <c r="AA69" s="3"/>
      <c r="AB69" s="3"/>
      <c r="AC69" s="3"/>
    </row>
    <row r="70" spans="1:29">
      <c r="A70" s="73"/>
      <c r="B70" s="68"/>
      <c r="C70" s="3"/>
      <c r="D70" s="3"/>
      <c r="E70" s="3"/>
      <c r="F70" s="3"/>
      <c r="G70" s="3"/>
      <c r="H70" s="3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3"/>
      <c r="Y70" s="18"/>
      <c r="Z70" s="3"/>
      <c r="AA70" s="3"/>
      <c r="AB70" s="3"/>
      <c r="AC70" s="3"/>
    </row>
    <row r="71" spans="1:29">
      <c r="A71" s="73"/>
      <c r="B71" s="68"/>
      <c r="C71" s="3"/>
      <c r="D71" s="3"/>
      <c r="E71" s="3"/>
      <c r="F71" s="3"/>
      <c r="G71" s="3"/>
      <c r="H71" s="3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3"/>
      <c r="Y71" s="18"/>
      <c r="Z71" s="3"/>
      <c r="AA71" s="3"/>
      <c r="AB71" s="3"/>
      <c r="AC71" s="3"/>
    </row>
    <row r="72" spans="1:29">
      <c r="A72" s="73"/>
      <c r="B72" s="68"/>
      <c r="C72" s="3"/>
      <c r="D72" s="3"/>
      <c r="E72" s="3"/>
      <c r="F72" s="3"/>
      <c r="G72" s="3"/>
      <c r="H72" s="3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3"/>
      <c r="Y72" s="18"/>
      <c r="Z72" s="3"/>
      <c r="AA72" s="3"/>
      <c r="AB72" s="3"/>
      <c r="AC72" s="3"/>
    </row>
    <row r="73" spans="1:29">
      <c r="A73" s="73"/>
      <c r="B73" s="3"/>
      <c r="C73" s="3"/>
      <c r="D73" s="3"/>
      <c r="E73" s="3"/>
      <c r="F73" s="3"/>
      <c r="G73" s="3"/>
      <c r="H73" s="3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3"/>
      <c r="Y73" s="3"/>
      <c r="Z73" s="3"/>
      <c r="AA73" s="3"/>
      <c r="AB73" s="3"/>
      <c r="AC73" s="3"/>
    </row>
    <row r="74" spans="1:29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1:29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</sheetData>
  <mergeCells count="2">
    <mergeCell ref="Y3:AA3"/>
    <mergeCell ref="I2:Q2"/>
  </mergeCells>
  <pageMargins left="0.25" right="0.25" top="0.75" bottom="0.75" header="0.3" footer="0.3"/>
  <pageSetup scale="41" orientation="portrait" horizontalDpi="360" verticalDpi="36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5">
    <pageSetUpPr fitToPage="1"/>
  </sheetPr>
  <dimension ref="A1:P21"/>
  <sheetViews>
    <sheetView workbookViewId="0">
      <selection activeCell="R16" sqref="R16"/>
    </sheetView>
  </sheetViews>
  <sheetFormatPr baseColWidth="10" defaultRowHeight="15"/>
  <cols>
    <col min="4" max="4" width="2.7109375" customWidth="1"/>
    <col min="7" max="7" width="13.85546875" bestFit="1" customWidth="1"/>
    <col min="8" max="8" width="2.7109375" customWidth="1"/>
    <col min="12" max="12" width="2.7109375" style="62" customWidth="1"/>
  </cols>
  <sheetData>
    <row r="1" spans="1:16" ht="21">
      <c r="A1" s="80"/>
      <c r="B1" s="80"/>
      <c r="C1" s="80"/>
      <c r="D1" s="80"/>
      <c r="E1" s="167" t="s">
        <v>39</v>
      </c>
      <c r="F1" s="167"/>
      <c r="G1" s="167"/>
      <c r="H1" s="167"/>
      <c r="I1" s="167"/>
      <c r="J1" s="167"/>
      <c r="K1" s="167"/>
      <c r="L1" s="81"/>
      <c r="M1" s="80"/>
      <c r="N1" s="80"/>
      <c r="O1" s="80"/>
      <c r="P1" s="80"/>
    </row>
    <row r="2" spans="1:16" ht="21.75" thickBot="1">
      <c r="A2" s="163" t="s">
        <v>32</v>
      </c>
      <c r="B2" s="163"/>
      <c r="C2" s="163"/>
      <c r="D2" s="30"/>
      <c r="E2" s="164" t="s">
        <v>33</v>
      </c>
      <c r="F2" s="164"/>
      <c r="G2" s="164"/>
      <c r="H2" s="30"/>
      <c r="I2" s="165" t="s">
        <v>34</v>
      </c>
      <c r="J2" s="165"/>
      <c r="K2" s="165"/>
      <c r="L2" s="82"/>
      <c r="M2" s="166" t="s">
        <v>29</v>
      </c>
      <c r="N2" s="166"/>
      <c r="O2" s="166"/>
    </row>
    <row r="3" spans="1:16" ht="16.5" thickTop="1" thickBot="1">
      <c r="A3" s="36" t="s">
        <v>2</v>
      </c>
      <c r="B3" s="37" t="s">
        <v>3</v>
      </c>
      <c r="C3" s="38" t="s">
        <v>40</v>
      </c>
      <c r="E3" s="39" t="s">
        <v>2</v>
      </c>
      <c r="F3" s="40" t="s">
        <v>3</v>
      </c>
      <c r="G3" s="41" t="s">
        <v>40</v>
      </c>
      <c r="I3" s="42" t="s">
        <v>2</v>
      </c>
      <c r="J3" s="43" t="s">
        <v>3</v>
      </c>
      <c r="K3" s="44" t="s">
        <v>40</v>
      </c>
      <c r="M3" s="45" t="s">
        <v>8</v>
      </c>
      <c r="N3" s="45" t="s">
        <v>2</v>
      </c>
      <c r="O3" s="50" t="s">
        <v>3</v>
      </c>
    </row>
    <row r="4" spans="1:16" ht="15.75" thickBot="1">
      <c r="A4" s="53">
        <f>SUM('IMSS 1'!L29)</f>
        <v>8528.42</v>
      </c>
      <c r="B4" s="53">
        <f>SUM('IMSS 1'!N29)</f>
        <v>7023.83</v>
      </c>
      <c r="C4" s="53">
        <f>SUM('IMSS 1'!P29)</f>
        <v>8334.4000000000015</v>
      </c>
      <c r="D4" s="54"/>
      <c r="E4" s="53">
        <f>SUM('IMSS 2'!L29)</f>
        <v>7744</v>
      </c>
      <c r="F4" s="53">
        <f>SUM('IMSS 2'!N29)</f>
        <v>7600</v>
      </c>
      <c r="G4" s="53">
        <f>SUM('IMSS 2'!P29)</f>
        <v>6606</v>
      </c>
      <c r="H4" s="54"/>
      <c r="I4" s="53">
        <f>SUM(IMSS3!L29)</f>
        <v>5814.75</v>
      </c>
      <c r="J4" s="53">
        <f>SUM(IMSS3!N29)</f>
        <v>6455.85</v>
      </c>
      <c r="K4" s="53">
        <f>SUM(IMSS3!R29)</f>
        <v>6521.25</v>
      </c>
      <c r="L4" s="83"/>
      <c r="M4" s="53">
        <f>SUM(GUARDERIA!J29)</f>
        <v>3346</v>
      </c>
      <c r="N4" s="53">
        <f>SUM(GUARDERIA!L29)</f>
        <v>2585</v>
      </c>
      <c r="O4" s="55">
        <f>SUM(GUARDERIA!N29)</f>
        <v>722</v>
      </c>
    </row>
    <row r="5" spans="1:16" ht="15.75" thickBot="1">
      <c r="A5" s="36" t="s">
        <v>41</v>
      </c>
      <c r="B5" s="37" t="s">
        <v>42</v>
      </c>
      <c r="C5" s="38" t="s">
        <v>7</v>
      </c>
      <c r="E5" s="39" t="s">
        <v>41</v>
      </c>
      <c r="F5" s="40" t="s">
        <v>42</v>
      </c>
      <c r="G5" s="41" t="s">
        <v>7</v>
      </c>
      <c r="I5" s="42" t="s">
        <v>41</v>
      </c>
      <c r="J5" s="43" t="s">
        <v>42</v>
      </c>
      <c r="K5" s="44" t="s">
        <v>7</v>
      </c>
      <c r="M5" s="46" t="s">
        <v>40</v>
      </c>
      <c r="N5" s="51" t="s">
        <v>41</v>
      </c>
      <c r="O5" s="52"/>
    </row>
    <row r="6" spans="1:16" ht="15.75" thickBot="1">
      <c r="A6" s="53">
        <f>SUM('IMSS 1'!R29)</f>
        <v>9271.6</v>
      </c>
      <c r="B6" s="56">
        <f>SUM('IMSS 1'!T29)</f>
        <v>8805</v>
      </c>
      <c r="C6" s="56">
        <f>SUM('IMSS 1'!V29)</f>
        <v>11115.73</v>
      </c>
      <c r="D6" s="54"/>
      <c r="E6" s="56">
        <f>SUM('IMSS 2'!R29)</f>
        <v>8741</v>
      </c>
      <c r="F6" s="56">
        <f>SUM('IMSS 2'!T29)</f>
        <v>8813</v>
      </c>
      <c r="G6" s="56">
        <f>SUM('IMSS 2'!V29)</f>
        <v>6451</v>
      </c>
      <c r="H6" s="54"/>
      <c r="I6" s="56">
        <f>SUM(IMSS3!T29)</f>
        <v>6801.6</v>
      </c>
      <c r="J6" s="56">
        <f>SUM(IMSS3!T29)</f>
        <v>6801.6</v>
      </c>
      <c r="K6" s="56">
        <f>SUM(IMSS3!V29)</f>
        <v>4945.25</v>
      </c>
      <c r="L6" s="83"/>
      <c r="M6" s="56">
        <f>SUM(GUARDERIA!P29)</f>
        <v>1580</v>
      </c>
      <c r="N6" s="56">
        <f>SUM(GUARDERIA!R29)</f>
        <v>1065</v>
      </c>
    </row>
    <row r="7" spans="1:16">
      <c r="A7" s="47" t="s">
        <v>8</v>
      </c>
      <c r="E7" s="48" t="s">
        <v>8</v>
      </c>
      <c r="I7" s="49" t="s">
        <v>8</v>
      </c>
      <c r="M7" s="27"/>
    </row>
    <row r="8" spans="1:16">
      <c r="A8" s="55">
        <f>SUM('IMSS 1'!X29)</f>
        <v>8334.1200000000008</v>
      </c>
      <c r="B8" s="54"/>
      <c r="C8" s="54"/>
      <c r="D8" s="54"/>
      <c r="E8" s="55">
        <f>SUM('IMSS 2'!X29)</f>
        <v>8347</v>
      </c>
      <c r="F8" s="54"/>
      <c r="G8" s="54"/>
      <c r="H8" s="54"/>
      <c r="I8" s="55">
        <f>SUM(IMSS3!X29)</f>
        <v>6631.8</v>
      </c>
    </row>
    <row r="9" spans="1:16" ht="22.5" customHeight="1"/>
    <row r="10" spans="1:16">
      <c r="A10" s="32" t="s">
        <v>35</v>
      </c>
      <c r="B10" s="33" t="s">
        <v>27</v>
      </c>
      <c r="C10" s="31" t="s">
        <v>28</v>
      </c>
      <c r="E10" s="32" t="s">
        <v>35</v>
      </c>
      <c r="F10" s="33" t="s">
        <v>27</v>
      </c>
      <c r="G10" s="31" t="s">
        <v>28</v>
      </c>
      <c r="I10" s="32" t="s">
        <v>35</v>
      </c>
      <c r="J10" s="33" t="s">
        <v>27</v>
      </c>
      <c r="K10" s="31" t="s">
        <v>28</v>
      </c>
      <c r="M10" s="32" t="s">
        <v>35</v>
      </c>
      <c r="N10" s="33" t="s">
        <v>27</v>
      </c>
      <c r="O10" s="33" t="s">
        <v>28</v>
      </c>
    </row>
    <row r="11" spans="1:16">
      <c r="A11" s="34">
        <f>SUM('IMSS 1'!AA29)</f>
        <v>36996.271999999997</v>
      </c>
      <c r="B11" s="34">
        <f>SUM('IMSS 1'!AB29)</f>
        <v>61413.1</v>
      </c>
      <c r="C11" s="34">
        <f>SUM('IMSS 1'!AC29)</f>
        <v>24416.828000000001</v>
      </c>
      <c r="D11" s="35"/>
      <c r="E11" s="34">
        <f>SUM('IMSS 2'!AA29)</f>
        <v>33006.25</v>
      </c>
      <c r="F11" s="34">
        <f>SUM('IMSS 2'!AB29)</f>
        <v>54302</v>
      </c>
      <c r="G11" s="34">
        <f>SUM('IMSS 2'!X29)</f>
        <v>8347</v>
      </c>
      <c r="H11" s="35"/>
      <c r="I11" s="34">
        <f>SUM(IMSS3!AA29)</f>
        <v>25269.673999999999</v>
      </c>
      <c r="J11" s="34">
        <f>SUM(IMSS3!AB29)</f>
        <v>42436.200000000004</v>
      </c>
      <c r="K11" s="34">
        <f>SUM(IMSS3!AC29)</f>
        <v>17166.526000000005</v>
      </c>
      <c r="L11" s="84"/>
      <c r="M11" s="34">
        <f>SUM(GUARDERIA!U29)</f>
        <v>5342.9000000000005</v>
      </c>
      <c r="N11" s="34">
        <f>SUM(GUARDERIA!V29)</f>
        <v>9298</v>
      </c>
      <c r="O11" s="34">
        <f>SUM(GUARDERIA!W29)</f>
        <v>3955.0999999999995</v>
      </c>
    </row>
    <row r="13" spans="1:16" ht="24.75">
      <c r="G13" s="77">
        <f ca="1">TODAY()</f>
        <v>44589</v>
      </c>
      <c r="L13" s="59" t="str">
        <f>('ORDENES '!L1)</f>
        <v>11-17 enero</v>
      </c>
    </row>
    <row r="14" spans="1:16" ht="15.75" thickBot="1"/>
    <row r="15" spans="1:16" ht="15.75" thickBot="1">
      <c r="E15" s="180" t="s">
        <v>37</v>
      </c>
      <c r="F15" s="181"/>
      <c r="G15" s="182"/>
      <c r="I15" s="174" t="s">
        <v>36</v>
      </c>
      <c r="J15" s="175"/>
      <c r="K15" s="176"/>
      <c r="M15" s="177" t="s">
        <v>38</v>
      </c>
      <c r="N15" s="178"/>
      <c r="O15" s="179"/>
    </row>
    <row r="16" spans="1:16" ht="15" customHeight="1">
      <c r="E16" s="168">
        <f>SUM(A11,E11,I11,M11)</f>
        <v>100615.09599999999</v>
      </c>
      <c r="F16" s="169"/>
      <c r="G16" s="170"/>
      <c r="I16" s="189">
        <f>SUM(B11,F11,J11,N11)</f>
        <v>167449.30000000002</v>
      </c>
      <c r="J16" s="190"/>
      <c r="K16" s="191"/>
      <c r="M16" s="183">
        <f>SUM(C11,G11,K11,O11)</f>
        <v>53885.454000000005</v>
      </c>
      <c r="N16" s="184"/>
      <c r="O16" s="185"/>
    </row>
    <row r="17" spans="5:15" ht="15.75" customHeight="1" thickBot="1">
      <c r="E17" s="171"/>
      <c r="F17" s="172"/>
      <c r="G17" s="173"/>
      <c r="I17" s="192"/>
      <c r="J17" s="193"/>
      <c r="K17" s="194"/>
      <c r="M17" s="186"/>
      <c r="N17" s="187"/>
      <c r="O17" s="188"/>
    </row>
    <row r="20" spans="5:15" ht="24.75" customHeight="1">
      <c r="E20" s="59"/>
      <c r="J20" s="78"/>
      <c r="K20" s="79"/>
      <c r="L20" s="85"/>
      <c r="M20" s="79"/>
    </row>
    <row r="21" spans="5:15" ht="15" customHeight="1">
      <c r="J21" s="79"/>
      <c r="K21" s="79"/>
      <c r="L21" s="85"/>
      <c r="M21" s="79"/>
    </row>
  </sheetData>
  <sheetProtection algorithmName="SHA-512" hashValue="ptFmMotBdvyZLCfkXKY88beq2EyJ2JQ5u82DkSH9bp+RBszOp6n0+4HCmHhkzu82PoLEcIUBxW1CdEsZ1UhMAg==" saltValue="EpI85gj4K+hhZ9vPkdG8Cw==" spinCount="100000" sheet="1" objects="1" scenarios="1"/>
  <mergeCells count="11">
    <mergeCell ref="E16:G17"/>
    <mergeCell ref="I15:K15"/>
    <mergeCell ref="M15:O15"/>
    <mergeCell ref="E15:G15"/>
    <mergeCell ref="M16:O17"/>
    <mergeCell ref="I16:K17"/>
    <mergeCell ref="A2:C2"/>
    <mergeCell ref="E2:G2"/>
    <mergeCell ref="I2:K2"/>
    <mergeCell ref="M2:O2"/>
    <mergeCell ref="E1:K1"/>
  </mergeCells>
  <pageMargins left="0.7" right="0.7" top="0.75" bottom="0.75" header="0.3" footer="0.3"/>
  <pageSetup scale="82" orientation="landscape" horizontalDpi="360" verticalDpi="36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6"/>
  <dimension ref="A1:D72"/>
  <sheetViews>
    <sheetView tabSelected="1" workbookViewId="0">
      <selection activeCell="I13" sqref="I13"/>
    </sheetView>
  </sheetViews>
  <sheetFormatPr baseColWidth="10" defaultRowHeight="15"/>
  <cols>
    <col min="1" max="1" width="10.85546875" style="127"/>
    <col min="2" max="2" width="33.42578125" customWidth="1"/>
    <col min="3" max="3" width="28.42578125" hidden="1" customWidth="1"/>
    <col min="4" max="4" width="14.42578125" customWidth="1"/>
  </cols>
  <sheetData>
    <row r="1" spans="1:4" ht="24.75">
      <c r="A1" s="143"/>
      <c r="B1" s="143"/>
      <c r="C1" s="143"/>
      <c r="D1" s="59" t="str">
        <f>('ORDENES '!L1)</f>
        <v>11-17 enero</v>
      </c>
    </row>
    <row r="2" spans="1:4">
      <c r="A2" s="143"/>
      <c r="B2" s="143"/>
      <c r="C2" s="143"/>
    </row>
    <row r="3" spans="1:4">
      <c r="B3" s="4" t="s">
        <v>1</v>
      </c>
      <c r="C3" s="8" t="s">
        <v>24</v>
      </c>
      <c r="D3" s="8" t="s">
        <v>25</v>
      </c>
    </row>
    <row r="4" spans="1:4">
      <c r="A4" s="127">
        <v>1</v>
      </c>
      <c r="B4" s="70" t="s">
        <v>46</v>
      </c>
      <c r="C4" s="95">
        <v>89</v>
      </c>
      <c r="D4" s="72">
        <v>89</v>
      </c>
    </row>
    <row r="5" spans="1:4">
      <c r="A5" s="127">
        <v>2</v>
      </c>
      <c r="B5" s="70" t="s">
        <v>53</v>
      </c>
      <c r="C5" s="95">
        <v>50</v>
      </c>
      <c r="D5" s="72">
        <v>95</v>
      </c>
    </row>
    <row r="6" spans="1:4">
      <c r="A6" s="127">
        <v>3</v>
      </c>
      <c r="B6" s="71" t="s">
        <v>56</v>
      </c>
      <c r="C6" s="95">
        <v>64</v>
      </c>
      <c r="D6" s="72">
        <v>82</v>
      </c>
    </row>
    <row r="7" spans="1:4">
      <c r="A7" s="127">
        <v>4</v>
      </c>
      <c r="B7" s="70" t="s">
        <v>57</v>
      </c>
      <c r="C7" s="95">
        <v>50</v>
      </c>
      <c r="D7" s="72">
        <v>60</v>
      </c>
    </row>
    <row r="8" spans="1:4">
      <c r="A8" s="127">
        <v>5</v>
      </c>
      <c r="B8" s="71" t="s">
        <v>138</v>
      </c>
      <c r="C8" s="95">
        <v>56.9</v>
      </c>
      <c r="D8" s="72">
        <v>90</v>
      </c>
    </row>
    <row r="9" spans="1:4">
      <c r="A9" s="127">
        <v>6</v>
      </c>
      <c r="B9" s="70" t="s">
        <v>137</v>
      </c>
      <c r="C9" s="95"/>
      <c r="D9" s="72">
        <v>98</v>
      </c>
    </row>
    <row r="10" spans="1:4">
      <c r="A10" s="127">
        <v>7</v>
      </c>
      <c r="B10" s="70" t="s">
        <v>55</v>
      </c>
      <c r="C10" s="95">
        <v>73.8</v>
      </c>
      <c r="D10" s="72">
        <v>150</v>
      </c>
    </row>
    <row r="11" spans="1:4">
      <c r="A11" s="127">
        <v>8</v>
      </c>
      <c r="B11" s="70" t="s">
        <v>74</v>
      </c>
      <c r="C11" s="95">
        <v>73.8</v>
      </c>
      <c r="D11" s="72">
        <v>150</v>
      </c>
    </row>
    <row r="12" spans="1:4">
      <c r="A12" s="127">
        <v>9</v>
      </c>
      <c r="B12" s="70" t="s">
        <v>75</v>
      </c>
      <c r="C12" s="95">
        <v>55</v>
      </c>
      <c r="D12" s="72">
        <v>75</v>
      </c>
    </row>
    <row r="13" spans="1:4" ht="18">
      <c r="A13" s="127">
        <v>10</v>
      </c>
      <c r="B13" s="70" t="s">
        <v>139</v>
      </c>
      <c r="C13" s="95">
        <v>35.799999999999997</v>
      </c>
      <c r="D13" s="72">
        <v>65</v>
      </c>
    </row>
    <row r="14" spans="1:4">
      <c r="A14" s="127">
        <v>11</v>
      </c>
      <c r="B14" s="70" t="s">
        <v>58</v>
      </c>
      <c r="C14" s="95">
        <v>50</v>
      </c>
      <c r="D14" s="72">
        <v>50</v>
      </c>
    </row>
    <row r="15" spans="1:4">
      <c r="A15" s="127">
        <v>12</v>
      </c>
      <c r="B15" s="70" t="s">
        <v>44</v>
      </c>
      <c r="C15" s="95">
        <v>140</v>
      </c>
      <c r="D15" s="72">
        <v>160</v>
      </c>
    </row>
    <row r="16" spans="1:4">
      <c r="A16" s="127">
        <v>13</v>
      </c>
      <c r="B16" s="70" t="s">
        <v>45</v>
      </c>
      <c r="C16" s="95">
        <v>120</v>
      </c>
      <c r="D16" s="72">
        <v>120</v>
      </c>
    </row>
    <row r="17" spans="1:4">
      <c r="A17" s="127">
        <v>14</v>
      </c>
      <c r="B17" s="71" t="s">
        <v>47</v>
      </c>
      <c r="C17" s="95">
        <v>89</v>
      </c>
      <c r="D17" s="72">
        <v>120</v>
      </c>
    </row>
    <row r="18" spans="1:4">
      <c r="A18" s="127">
        <v>15</v>
      </c>
      <c r="B18" s="70" t="s">
        <v>48</v>
      </c>
      <c r="C18" s="95">
        <v>80</v>
      </c>
      <c r="D18" s="72">
        <v>140</v>
      </c>
    </row>
    <row r="19" spans="1:4">
      <c r="A19" s="127">
        <v>16</v>
      </c>
      <c r="B19" s="70" t="s">
        <v>59</v>
      </c>
      <c r="C19" s="95">
        <v>90</v>
      </c>
      <c r="D19" s="72">
        <v>145</v>
      </c>
    </row>
    <row r="20" spans="1:4">
      <c r="A20" s="127">
        <v>17</v>
      </c>
      <c r="B20" s="70" t="s">
        <v>60</v>
      </c>
      <c r="C20" s="95">
        <v>75</v>
      </c>
      <c r="D20" s="72">
        <v>130</v>
      </c>
    </row>
    <row r="21" spans="1:4">
      <c r="A21" s="127">
        <v>18</v>
      </c>
      <c r="B21" s="70" t="s">
        <v>49</v>
      </c>
      <c r="C21" s="95">
        <v>26.7</v>
      </c>
      <c r="D21" s="72">
        <v>38</v>
      </c>
    </row>
    <row r="22" spans="1:4">
      <c r="A22" s="127">
        <v>19</v>
      </c>
      <c r="B22" s="71" t="s">
        <v>50</v>
      </c>
      <c r="C22" s="95">
        <v>80</v>
      </c>
      <c r="D22" s="72">
        <v>180</v>
      </c>
    </row>
    <row r="23" spans="1:4">
      <c r="A23" s="127">
        <v>20</v>
      </c>
      <c r="B23" s="70" t="s">
        <v>51</v>
      </c>
      <c r="C23" s="95">
        <v>60</v>
      </c>
      <c r="D23" s="72">
        <v>120</v>
      </c>
    </row>
    <row r="24" spans="1:4">
      <c r="A24" s="127">
        <v>21</v>
      </c>
      <c r="B24" s="70" t="s">
        <v>52</v>
      </c>
      <c r="C24" s="95">
        <v>60</v>
      </c>
      <c r="D24" s="72">
        <v>140</v>
      </c>
    </row>
    <row r="25" spans="1:4">
      <c r="A25" s="127">
        <v>22</v>
      </c>
      <c r="B25" s="70" t="s">
        <v>54</v>
      </c>
      <c r="C25" s="95">
        <v>28</v>
      </c>
      <c r="D25" s="72">
        <v>40</v>
      </c>
    </row>
    <row r="26" spans="1:4">
      <c r="A26" s="127">
        <v>23</v>
      </c>
      <c r="B26" s="70" t="s">
        <v>61</v>
      </c>
      <c r="C26" s="95">
        <v>32</v>
      </c>
      <c r="D26" s="72">
        <v>40</v>
      </c>
    </row>
    <row r="27" spans="1:4">
      <c r="A27" s="127">
        <v>24</v>
      </c>
      <c r="B27" s="70" t="s">
        <v>62</v>
      </c>
      <c r="C27" s="95">
        <v>38</v>
      </c>
      <c r="D27" s="72">
        <v>50</v>
      </c>
    </row>
    <row r="28" spans="1:4">
      <c r="A28" s="127">
        <v>25</v>
      </c>
      <c r="B28" s="70" t="s">
        <v>63</v>
      </c>
      <c r="C28" s="95">
        <v>90</v>
      </c>
      <c r="D28" s="72">
        <v>140</v>
      </c>
    </row>
    <row r="29" spans="1:4">
      <c r="B29" s="68"/>
      <c r="C29" s="18"/>
      <c r="D29" s="18"/>
    </row>
    <row r="30" spans="1:4">
      <c r="B30" s="68"/>
      <c r="C30" s="18"/>
      <c r="D30" s="18"/>
    </row>
    <row r="31" spans="1:4">
      <c r="B31" s="68"/>
      <c r="C31" s="18"/>
      <c r="D31" s="18"/>
    </row>
    <row r="32" spans="1:4">
      <c r="B32" s="68"/>
      <c r="C32" s="18"/>
      <c r="D32" s="18"/>
    </row>
    <row r="33" spans="2:4">
      <c r="B33" s="69"/>
      <c r="C33" s="18"/>
      <c r="D33" s="18"/>
    </row>
    <row r="34" spans="2:4">
      <c r="B34" s="69"/>
      <c r="C34" s="18"/>
      <c r="D34" s="18"/>
    </row>
    <row r="35" spans="2:4">
      <c r="B35" s="68"/>
      <c r="C35" s="18"/>
      <c r="D35" s="18"/>
    </row>
    <row r="36" spans="2:4">
      <c r="B36" s="68"/>
      <c r="C36" s="18"/>
      <c r="D36" s="18"/>
    </row>
    <row r="37" spans="2:4">
      <c r="B37" s="68"/>
      <c r="C37" s="18"/>
      <c r="D37" s="18"/>
    </row>
    <row r="38" spans="2:4">
      <c r="B38" s="68"/>
      <c r="C38" s="18"/>
      <c r="D38" s="18"/>
    </row>
    <row r="39" spans="2:4">
      <c r="B39" s="68"/>
      <c r="C39" s="18"/>
      <c r="D39" s="18"/>
    </row>
    <row r="40" spans="2:4">
      <c r="B40" s="68"/>
      <c r="C40" s="18"/>
      <c r="D40" s="18"/>
    </row>
    <row r="41" spans="2:4">
      <c r="B41" s="68"/>
      <c r="C41" s="18"/>
      <c r="D41" s="18"/>
    </row>
    <row r="42" spans="2:4">
      <c r="B42" s="68"/>
      <c r="C42" s="18"/>
      <c r="D42" s="18"/>
    </row>
    <row r="43" spans="2:4">
      <c r="B43" s="68"/>
      <c r="C43" s="18"/>
      <c r="D43" s="18"/>
    </row>
    <row r="44" spans="2:4">
      <c r="B44" s="68"/>
      <c r="C44" s="18"/>
      <c r="D44" s="18"/>
    </row>
    <row r="45" spans="2:4">
      <c r="B45" s="68"/>
      <c r="C45" s="18"/>
      <c r="D45" s="18"/>
    </row>
    <row r="46" spans="2:4">
      <c r="B46" s="68"/>
      <c r="C46" s="18"/>
      <c r="D46" s="18"/>
    </row>
    <row r="47" spans="2:4">
      <c r="B47" s="69"/>
      <c r="C47" s="18"/>
      <c r="D47" s="18"/>
    </row>
    <row r="48" spans="2:4">
      <c r="B48" s="69"/>
      <c r="C48" s="18"/>
      <c r="D48" s="18"/>
    </row>
    <row r="49" spans="2:4">
      <c r="B49" s="68"/>
      <c r="C49" s="18"/>
      <c r="D49" s="18"/>
    </row>
    <row r="50" spans="2:4">
      <c r="B50" s="68"/>
      <c r="C50" s="18"/>
      <c r="D50" s="18"/>
    </row>
    <row r="51" spans="2:4">
      <c r="B51" s="68"/>
      <c r="C51" s="18"/>
      <c r="D51" s="18"/>
    </row>
    <row r="52" spans="2:4">
      <c r="B52" s="68"/>
      <c r="C52" s="18"/>
      <c r="D52" s="18"/>
    </row>
    <row r="53" spans="2:4">
      <c r="B53" s="69"/>
      <c r="C53" s="18"/>
      <c r="D53" s="18"/>
    </row>
    <row r="54" spans="2:4">
      <c r="B54" s="68"/>
      <c r="C54" s="18"/>
      <c r="D54" s="18"/>
    </row>
    <row r="55" spans="2:4">
      <c r="B55" s="68"/>
      <c r="C55" s="18"/>
      <c r="D55" s="18"/>
    </row>
    <row r="56" spans="2:4">
      <c r="B56" s="68"/>
      <c r="C56" s="18"/>
      <c r="D56" s="18"/>
    </row>
    <row r="57" spans="2:4">
      <c r="B57" s="68"/>
      <c r="C57" s="18"/>
      <c r="D57" s="18"/>
    </row>
    <row r="58" spans="2:4">
      <c r="B58" s="68"/>
      <c r="C58" s="18"/>
      <c r="D58" s="18"/>
    </row>
    <row r="59" spans="2:4">
      <c r="B59" s="68"/>
      <c r="C59" s="18"/>
      <c r="D59" s="18"/>
    </row>
    <row r="60" spans="2:4">
      <c r="B60" s="68"/>
      <c r="C60" s="18"/>
      <c r="D60" s="18"/>
    </row>
    <row r="61" spans="2:4">
      <c r="B61" s="68"/>
      <c r="C61" s="18"/>
      <c r="D61" s="18"/>
    </row>
    <row r="62" spans="2:4">
      <c r="B62" s="68"/>
      <c r="C62" s="18"/>
      <c r="D62" s="18"/>
    </row>
    <row r="63" spans="2:4">
      <c r="B63" s="68"/>
      <c r="C63" s="18"/>
      <c r="D63" s="18"/>
    </row>
    <row r="64" spans="2:4">
      <c r="B64" s="68"/>
      <c r="C64" s="18"/>
      <c r="D64" s="18"/>
    </row>
    <row r="65" spans="2:4">
      <c r="B65" s="68"/>
      <c r="C65" s="18"/>
      <c r="D65" s="18"/>
    </row>
    <row r="66" spans="2:4">
      <c r="B66" s="68"/>
      <c r="C66" s="18"/>
      <c r="D66" s="18"/>
    </row>
    <row r="67" spans="2:4">
      <c r="B67" s="68"/>
      <c r="C67" s="18"/>
      <c r="D67" s="18"/>
    </row>
    <row r="68" spans="2:4">
      <c r="B68" s="68"/>
      <c r="C68" s="18"/>
      <c r="D68" s="18"/>
    </row>
    <row r="69" spans="2:4">
      <c r="B69" s="68"/>
      <c r="C69" s="18"/>
      <c r="D69" s="18"/>
    </row>
    <row r="70" spans="2:4">
      <c r="B70" s="68"/>
      <c r="C70" s="18"/>
      <c r="D70" s="18"/>
    </row>
    <row r="71" spans="2:4">
      <c r="B71" s="68"/>
      <c r="C71" s="18"/>
      <c r="D71" s="18"/>
    </row>
    <row r="72" spans="2:4">
      <c r="B72" s="68"/>
      <c r="C72" s="18"/>
      <c r="D72" s="18"/>
    </row>
  </sheetData>
  <mergeCells count="1">
    <mergeCell ref="A1:C2"/>
  </mergeCells>
  <pageMargins left="0.7" right="0.7" top="0.75" bottom="0.75" header="0.3" footer="0.3"/>
  <pageSetup orientation="portrait" horizontalDpi="360" verticalDpi="36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7">
    <pageSetUpPr fitToPage="1"/>
  </sheetPr>
  <dimension ref="B1:V55"/>
  <sheetViews>
    <sheetView topLeftCell="A20" zoomScale="89" zoomScaleNormal="89" workbookViewId="0">
      <selection activeCell="P48" sqref="P48"/>
    </sheetView>
  </sheetViews>
  <sheetFormatPr baseColWidth="10" defaultRowHeight="15"/>
  <cols>
    <col min="1" max="1" width="5.140625" customWidth="1"/>
    <col min="2" max="2" width="7" style="104" customWidth="1"/>
    <col min="3" max="3" width="36.7109375" customWidth="1"/>
    <col min="4" max="11" width="11.28515625" customWidth="1"/>
    <col min="12" max="12" width="28.140625" customWidth="1"/>
    <col min="13" max="13" width="7.7109375" style="104" customWidth="1"/>
    <col min="14" max="14" width="36.7109375" customWidth="1"/>
    <col min="15" max="15" width="11.28515625" customWidth="1"/>
  </cols>
  <sheetData>
    <row r="1" spans="2:22" ht="36.75">
      <c r="C1" s="195" t="s">
        <v>72</v>
      </c>
      <c r="D1" s="195"/>
      <c r="E1" s="195"/>
      <c r="F1" s="196" t="str">
        <f>(L1)</f>
        <v>11-17 enero</v>
      </c>
      <c r="G1" s="196"/>
      <c r="H1" s="196"/>
      <c r="I1" s="196"/>
      <c r="J1" s="196"/>
      <c r="K1" s="103"/>
      <c r="L1" s="125" t="s">
        <v>140</v>
      </c>
      <c r="M1" s="107"/>
      <c r="N1" s="195" t="s">
        <v>33</v>
      </c>
      <c r="O1" s="195"/>
      <c r="P1" s="195"/>
      <c r="Q1" s="195" t="str">
        <f>(L1)</f>
        <v>11-17 enero</v>
      </c>
      <c r="R1" s="195"/>
      <c r="S1" s="195"/>
      <c r="T1" s="195"/>
      <c r="U1" s="195"/>
    </row>
    <row r="2" spans="2:22">
      <c r="B2" s="105" t="s">
        <v>0</v>
      </c>
      <c r="C2" s="91" t="s">
        <v>64</v>
      </c>
      <c r="D2" s="91" t="s">
        <v>65</v>
      </c>
      <c r="E2" s="91" t="s">
        <v>66</v>
      </c>
      <c r="F2" s="91" t="s">
        <v>67</v>
      </c>
      <c r="G2" s="91" t="s">
        <v>68</v>
      </c>
      <c r="H2" s="91" t="s">
        <v>69</v>
      </c>
      <c r="I2" s="91" t="s">
        <v>70</v>
      </c>
      <c r="J2" s="91" t="s">
        <v>71</v>
      </c>
      <c r="K2" s="91" t="s">
        <v>96</v>
      </c>
      <c r="L2" s="92"/>
      <c r="M2" s="108" t="s">
        <v>0</v>
      </c>
      <c r="N2" s="91" t="s">
        <v>64</v>
      </c>
      <c r="O2" s="91" t="s">
        <v>65</v>
      </c>
      <c r="P2" s="91" t="s">
        <v>66</v>
      </c>
      <c r="Q2" s="91" t="s">
        <v>67</v>
      </c>
      <c r="R2" s="91" t="s">
        <v>68</v>
      </c>
      <c r="S2" s="91" t="s">
        <v>102</v>
      </c>
      <c r="T2" s="91" t="s">
        <v>70</v>
      </c>
      <c r="U2" s="91" t="s">
        <v>71</v>
      </c>
      <c r="V2" s="91" t="s">
        <v>99</v>
      </c>
    </row>
    <row r="3" spans="2:22">
      <c r="B3" s="106">
        <v>1</v>
      </c>
      <c r="C3" s="90" t="str">
        <f>(PRECIOS!B4)</f>
        <v>CHULETA DE CERDO</v>
      </c>
      <c r="D3" s="60"/>
      <c r="E3" s="61"/>
      <c r="F3" s="60"/>
      <c r="G3" s="61"/>
      <c r="H3" s="60"/>
      <c r="I3" s="61"/>
      <c r="J3" s="60"/>
      <c r="K3" s="109">
        <f>SUM(D3:J3)</f>
        <v>0</v>
      </c>
      <c r="L3" s="92"/>
      <c r="M3" s="106">
        <v>1</v>
      </c>
      <c r="N3" s="90" t="str">
        <f>(PRECIOS!B4)</f>
        <v>CHULETA DE CERDO</v>
      </c>
      <c r="O3" s="60"/>
      <c r="P3" s="61"/>
      <c r="Q3" s="60"/>
      <c r="R3" s="61"/>
      <c r="S3" s="60"/>
      <c r="T3" s="61"/>
      <c r="U3" s="60"/>
      <c r="V3" s="110">
        <f>SUM(O3:U3)</f>
        <v>0</v>
      </c>
    </row>
    <row r="4" spans="2:22">
      <c r="B4" s="106">
        <v>2</v>
      </c>
      <c r="C4" s="90" t="str">
        <f>(PRECIOS!B5)</f>
        <v>LOMO DE CERDO</v>
      </c>
      <c r="D4" s="60"/>
      <c r="E4" s="61"/>
      <c r="F4" s="60"/>
      <c r="G4" s="61">
        <v>12</v>
      </c>
      <c r="H4" s="60"/>
      <c r="I4" s="61"/>
      <c r="J4" s="60">
        <v>14.4</v>
      </c>
      <c r="K4" s="109">
        <f t="shared" ref="K4:K26" si="0">SUM(D4:J4)</f>
        <v>26.4</v>
      </c>
      <c r="L4" s="92"/>
      <c r="M4" s="106">
        <v>2</v>
      </c>
      <c r="N4" s="90" t="str">
        <f>(PRECIOS!B5)</f>
        <v>LOMO DE CERDO</v>
      </c>
      <c r="O4" s="60"/>
      <c r="P4" s="61"/>
      <c r="Q4" s="60"/>
      <c r="R4" s="61">
        <v>10</v>
      </c>
      <c r="S4" s="60">
        <v>17</v>
      </c>
      <c r="T4" s="61"/>
      <c r="U4" s="60">
        <v>17</v>
      </c>
      <c r="V4" s="110">
        <f t="shared" ref="V4:V26" si="1">SUM(O4:U4)</f>
        <v>44</v>
      </c>
    </row>
    <row r="5" spans="2:22">
      <c r="B5" s="106">
        <v>3</v>
      </c>
      <c r="C5" s="90" t="str">
        <f>(PRECIOS!B6)</f>
        <v>PIERNA DE CERDO EN TROZO</v>
      </c>
      <c r="D5" s="60"/>
      <c r="E5" s="61"/>
      <c r="F5" s="60">
        <v>14.4</v>
      </c>
      <c r="G5" s="61"/>
      <c r="H5" s="60">
        <v>14.4</v>
      </c>
      <c r="I5" s="61">
        <v>12</v>
      </c>
      <c r="J5" s="60"/>
      <c r="K5" s="109">
        <f t="shared" si="0"/>
        <v>40.799999999999997</v>
      </c>
      <c r="L5" s="92"/>
      <c r="M5" s="106">
        <v>3</v>
      </c>
      <c r="N5" s="90" t="str">
        <f>(PRECIOS!B6)</f>
        <v>PIERNA DE CERDO EN TROZO</v>
      </c>
      <c r="O5" s="60"/>
      <c r="P5" s="61"/>
      <c r="Q5" s="60">
        <v>17</v>
      </c>
      <c r="R5" s="61"/>
      <c r="S5" s="60"/>
      <c r="T5" s="61"/>
      <c r="U5" s="60"/>
      <c r="V5" s="110">
        <f t="shared" si="1"/>
        <v>17</v>
      </c>
    </row>
    <row r="6" spans="2:22">
      <c r="B6" s="106">
        <v>4</v>
      </c>
      <c r="C6" s="90" t="str">
        <f>(PRECIOS!B7)</f>
        <v>PIERNA DE CERDO MOLIDA</v>
      </c>
      <c r="D6" s="60"/>
      <c r="E6" s="61"/>
      <c r="F6" s="60"/>
      <c r="G6" s="61"/>
      <c r="H6" s="60"/>
      <c r="I6" s="61"/>
      <c r="J6" s="60"/>
      <c r="K6" s="109">
        <f t="shared" si="0"/>
        <v>0</v>
      </c>
      <c r="L6" s="92"/>
      <c r="M6" s="106">
        <v>4</v>
      </c>
      <c r="N6" s="90" t="str">
        <f>(PRECIOS!B7)</f>
        <v>PIERNA DE CERDO MOLIDA</v>
      </c>
      <c r="O6" s="60"/>
      <c r="P6" s="61"/>
      <c r="Q6" s="60"/>
      <c r="R6" s="61"/>
      <c r="S6" s="60"/>
      <c r="T6" s="61"/>
      <c r="U6" s="60"/>
      <c r="V6" s="110">
        <f t="shared" si="1"/>
        <v>0</v>
      </c>
    </row>
    <row r="7" spans="2:22">
      <c r="B7" s="106">
        <v>5</v>
      </c>
      <c r="C7" s="90" t="str">
        <f>(PRECIOS!B8)</f>
        <v>MERO EN FILETE CONGELADO</v>
      </c>
      <c r="D7" s="60"/>
      <c r="E7" s="61"/>
      <c r="F7" s="60"/>
      <c r="G7" s="61"/>
      <c r="H7" s="60"/>
      <c r="I7" s="61">
        <v>65</v>
      </c>
      <c r="J7" s="60"/>
      <c r="K7" s="109">
        <f t="shared" si="0"/>
        <v>65</v>
      </c>
      <c r="L7" s="92"/>
      <c r="M7" s="106">
        <v>5</v>
      </c>
      <c r="N7" s="90" t="str">
        <f>(PRECIOS!B8)</f>
        <v>MERO EN FILETE CONGELADO</v>
      </c>
      <c r="O7" s="60"/>
      <c r="P7" s="61"/>
      <c r="Q7" s="60"/>
      <c r="R7" s="61"/>
      <c r="S7" s="60"/>
      <c r="T7" s="61">
        <v>33</v>
      </c>
      <c r="U7" s="60"/>
      <c r="V7" s="110">
        <f t="shared" si="1"/>
        <v>33</v>
      </c>
    </row>
    <row r="8" spans="2:22">
      <c r="B8" s="106">
        <v>6</v>
      </c>
      <c r="C8" s="90" t="str">
        <f>(PRECIOS!B9)</f>
        <v xml:space="preserve">PECHUGA DE POLLO </v>
      </c>
      <c r="D8" s="60"/>
      <c r="E8" s="61"/>
      <c r="F8" s="60"/>
      <c r="G8" s="61"/>
      <c r="H8" s="60"/>
      <c r="I8" s="61"/>
      <c r="J8" s="60"/>
      <c r="K8" s="109">
        <f t="shared" si="0"/>
        <v>0</v>
      </c>
      <c r="L8" s="92"/>
      <c r="M8" s="106">
        <v>6</v>
      </c>
      <c r="N8" s="90" t="str">
        <f>(PRECIOS!B9)</f>
        <v xml:space="preserve">PECHUGA DE POLLO </v>
      </c>
      <c r="O8" s="60"/>
      <c r="P8" s="61"/>
      <c r="Q8" s="60"/>
      <c r="R8" s="61"/>
      <c r="S8" s="60"/>
      <c r="T8" s="61"/>
      <c r="U8" s="60"/>
      <c r="V8" s="110">
        <f t="shared" si="1"/>
        <v>0</v>
      </c>
    </row>
    <row r="9" spans="2:22">
      <c r="B9" s="106">
        <v>7</v>
      </c>
      <c r="C9" s="90" t="str">
        <f>(PRECIOS!B10)</f>
        <v>PECHUGA DE POLLO DESHUESADA</v>
      </c>
      <c r="D9" s="60">
        <v>11.48</v>
      </c>
      <c r="E9" s="61">
        <v>20.079999999999998</v>
      </c>
      <c r="F9" s="60">
        <v>0.72</v>
      </c>
      <c r="G9" s="61">
        <v>13.23</v>
      </c>
      <c r="H9" s="60">
        <v>25.35</v>
      </c>
      <c r="I9" s="61">
        <v>3.96</v>
      </c>
      <c r="J9" s="60">
        <v>31.55</v>
      </c>
      <c r="K9" s="109">
        <f t="shared" si="0"/>
        <v>106.37</v>
      </c>
      <c r="L9" s="92"/>
      <c r="M9" s="106">
        <v>7</v>
      </c>
      <c r="N9" s="90" t="str">
        <f>(PRECIOS!B10)</f>
        <v>PECHUGA DE POLLO DESHUESADA</v>
      </c>
      <c r="O9" s="60">
        <v>7</v>
      </c>
      <c r="P9" s="61">
        <v>16</v>
      </c>
      <c r="Q9" s="60">
        <v>1.5</v>
      </c>
      <c r="R9" s="61">
        <v>13</v>
      </c>
      <c r="S9" s="60">
        <v>22</v>
      </c>
      <c r="T9" s="61">
        <v>2.5</v>
      </c>
      <c r="U9" s="60">
        <v>28</v>
      </c>
      <c r="V9" s="110">
        <f t="shared" si="1"/>
        <v>90</v>
      </c>
    </row>
    <row r="10" spans="2:22">
      <c r="B10" s="106">
        <v>8</v>
      </c>
      <c r="C10" s="90" t="str">
        <f>(PRECIOS!B11)</f>
        <v>PECHUGA  DESHUESADA EN BISTEC</v>
      </c>
      <c r="D10" s="60">
        <v>0.96</v>
      </c>
      <c r="E10" s="61">
        <v>3.6</v>
      </c>
      <c r="F10" s="60">
        <v>17.399999999999999</v>
      </c>
      <c r="G10" s="61">
        <v>0.96</v>
      </c>
      <c r="H10" s="60"/>
      <c r="I10" s="61"/>
      <c r="J10" s="60"/>
      <c r="K10" s="109">
        <f>SUM(D10:J10)</f>
        <v>22.92</v>
      </c>
      <c r="L10" s="92"/>
      <c r="M10" s="106">
        <v>8</v>
      </c>
      <c r="N10" s="90" t="str">
        <f>(PRECIOS!B11)</f>
        <v>PECHUGA  DESHUESADA EN BISTEC</v>
      </c>
      <c r="O10" s="60">
        <v>1</v>
      </c>
      <c r="P10" s="61">
        <v>3.5</v>
      </c>
      <c r="Q10" s="60">
        <v>9</v>
      </c>
      <c r="R10" s="61">
        <v>1</v>
      </c>
      <c r="S10" s="60"/>
      <c r="T10" s="61"/>
      <c r="U10" s="60"/>
      <c r="V10" s="110">
        <f t="shared" si="1"/>
        <v>14.5</v>
      </c>
    </row>
    <row r="11" spans="2:22">
      <c r="B11" s="106">
        <v>9</v>
      </c>
      <c r="C11" s="90" t="str">
        <f>(PRECIOS!B12)</f>
        <v>PECHUGA DE POLLO  MÓLIDA</v>
      </c>
      <c r="D11" s="60"/>
      <c r="E11" s="61"/>
      <c r="F11" s="60"/>
      <c r="G11" s="61"/>
      <c r="H11" s="60"/>
      <c r="I11" s="61"/>
      <c r="J11" s="60"/>
      <c r="K11" s="109">
        <f t="shared" si="0"/>
        <v>0</v>
      </c>
      <c r="L11" s="92"/>
      <c r="M11" s="106">
        <v>9</v>
      </c>
      <c r="N11" s="90" t="str">
        <f>(PRECIOS!B12)</f>
        <v>PECHUGA DE POLLO  MÓLIDA</v>
      </c>
      <c r="O11" s="60"/>
      <c r="P11" s="61"/>
      <c r="Q11" s="60"/>
      <c r="R11" s="61"/>
      <c r="S11" s="60"/>
      <c r="T11" s="61"/>
      <c r="U11" s="60"/>
      <c r="V11" s="110">
        <f t="shared" si="1"/>
        <v>0</v>
      </c>
    </row>
    <row r="12" spans="2:22" ht="21.75" customHeight="1">
      <c r="B12" s="106">
        <v>10</v>
      </c>
      <c r="C12" s="90" t="str">
        <f>(PRECIOS!B13)</f>
        <v>PIERNA Y MUSLO DE POLLO SIN PIEL EN FORMA DE PISTOLA</v>
      </c>
      <c r="D12" s="60">
        <v>19.8</v>
      </c>
      <c r="E12" s="61">
        <v>21.15</v>
      </c>
      <c r="F12" s="60"/>
      <c r="G12" s="61">
        <v>18</v>
      </c>
      <c r="H12" s="60"/>
      <c r="I12" s="61">
        <v>21.75</v>
      </c>
      <c r="J12" s="60"/>
      <c r="K12" s="109">
        <f t="shared" si="0"/>
        <v>80.7</v>
      </c>
      <c r="L12" s="92"/>
      <c r="M12" s="106">
        <v>10</v>
      </c>
      <c r="N12" s="90" t="str">
        <f>(PRECIOS!B13)</f>
        <v>PIERNA Y MUSLO DE POLLO SIN PIEL EN FORMA DE PISTOLA</v>
      </c>
      <c r="O12" s="60">
        <v>15</v>
      </c>
      <c r="P12" s="61">
        <v>25</v>
      </c>
      <c r="Q12" s="60"/>
      <c r="R12" s="61">
        <v>21</v>
      </c>
      <c r="S12" s="60"/>
      <c r="T12" s="61">
        <v>13</v>
      </c>
      <c r="U12" s="60"/>
      <c r="V12" s="110">
        <f t="shared" si="1"/>
        <v>74</v>
      </c>
    </row>
    <row r="13" spans="2:22">
      <c r="B13" s="106">
        <v>11</v>
      </c>
      <c r="C13" s="90" t="str">
        <f>(PRECIOS!B14)</f>
        <v>POLLO ENTERO</v>
      </c>
      <c r="D13" s="60"/>
      <c r="E13" s="61"/>
      <c r="F13" s="60"/>
      <c r="G13" s="61"/>
      <c r="H13" s="60"/>
      <c r="I13" s="61"/>
      <c r="J13" s="60"/>
      <c r="K13" s="109">
        <f t="shared" si="0"/>
        <v>0</v>
      </c>
      <c r="L13" s="92"/>
      <c r="M13" s="106">
        <v>11</v>
      </c>
      <c r="N13" s="90" t="str">
        <f>(PRECIOS!B14)</f>
        <v>POLLO ENTERO</v>
      </c>
      <c r="O13" s="60"/>
      <c r="P13" s="61"/>
      <c r="Q13" s="60"/>
      <c r="R13" s="61"/>
      <c r="S13" s="60"/>
      <c r="T13" s="61"/>
      <c r="U13" s="60"/>
      <c r="V13" s="110">
        <f t="shared" si="1"/>
        <v>0</v>
      </c>
    </row>
    <row r="14" spans="2:22">
      <c r="B14" s="106">
        <v>12</v>
      </c>
      <c r="C14" s="90" t="str">
        <f>(PRECIOS!B15)</f>
        <v>BISTEC DE PIERNA DE RES</v>
      </c>
      <c r="D14" s="60"/>
      <c r="E14" s="61">
        <v>12</v>
      </c>
      <c r="F14" s="60">
        <v>10</v>
      </c>
      <c r="G14" s="61">
        <v>22.42</v>
      </c>
      <c r="H14" s="60">
        <v>0.93</v>
      </c>
      <c r="I14" s="61"/>
      <c r="J14" s="60"/>
      <c r="K14" s="109">
        <f t="shared" si="0"/>
        <v>45.35</v>
      </c>
      <c r="L14" s="92"/>
      <c r="M14" s="106">
        <v>12</v>
      </c>
      <c r="N14" s="90" t="str">
        <f>(PRECIOS!B15)</f>
        <v>BISTEC DE PIERNA DE RES</v>
      </c>
      <c r="O14" s="60"/>
      <c r="P14" s="61">
        <v>13</v>
      </c>
      <c r="Q14" s="60">
        <v>8</v>
      </c>
      <c r="R14" s="61">
        <v>21</v>
      </c>
      <c r="S14" s="60">
        <v>11</v>
      </c>
      <c r="T14" s="61"/>
      <c r="U14" s="60"/>
      <c r="V14" s="110">
        <f t="shared" si="1"/>
        <v>53</v>
      </c>
    </row>
    <row r="15" spans="2:22">
      <c r="B15" s="106">
        <v>13</v>
      </c>
      <c r="C15" s="90" t="str">
        <f>(PRECIOS!B16)</f>
        <v>CHAMBARETE DE RES</v>
      </c>
      <c r="D15" s="60"/>
      <c r="E15" s="61"/>
      <c r="F15" s="60"/>
      <c r="G15" s="61"/>
      <c r="H15" s="60"/>
      <c r="I15" s="61"/>
      <c r="J15" s="60"/>
      <c r="K15" s="109">
        <f t="shared" si="0"/>
        <v>0</v>
      </c>
      <c r="L15" s="92"/>
      <c r="M15" s="106">
        <v>13</v>
      </c>
      <c r="N15" s="90" t="str">
        <f>(PRECIOS!B16)</f>
        <v>CHAMBARETE DE RES</v>
      </c>
      <c r="O15" s="60"/>
      <c r="P15" s="61"/>
      <c r="Q15" s="60"/>
      <c r="R15" s="61"/>
      <c r="S15" s="60"/>
      <c r="T15" s="61"/>
      <c r="U15" s="60"/>
      <c r="V15" s="110">
        <f t="shared" si="1"/>
        <v>0</v>
      </c>
    </row>
    <row r="16" spans="2:22">
      <c r="B16" s="106">
        <v>14</v>
      </c>
      <c r="C16" s="90" t="str">
        <f>(PRECIOS!B17)</f>
        <v>CUETE DE PIERNA DE RES</v>
      </c>
      <c r="D16" s="60"/>
      <c r="E16" s="61"/>
      <c r="F16" s="60"/>
      <c r="G16" s="61"/>
      <c r="H16" s="60"/>
      <c r="I16" s="61"/>
      <c r="J16" s="60"/>
      <c r="K16" s="109">
        <f t="shared" si="0"/>
        <v>0</v>
      </c>
      <c r="L16" s="92"/>
      <c r="M16" s="106">
        <v>14</v>
      </c>
      <c r="N16" s="90" t="str">
        <f>(PRECIOS!B17)</f>
        <v>CUETE DE PIERNA DE RES</v>
      </c>
      <c r="O16" s="60"/>
      <c r="P16" s="61"/>
      <c r="Q16" s="60"/>
      <c r="R16" s="61"/>
      <c r="S16" s="60"/>
      <c r="T16" s="61"/>
      <c r="U16" s="60"/>
      <c r="V16" s="110">
        <f t="shared" si="1"/>
        <v>0</v>
      </c>
    </row>
    <row r="17" spans="2:22">
      <c r="B17" s="106">
        <v>15</v>
      </c>
      <c r="C17" s="90" t="str">
        <f>(PRECIOS!B18)</f>
        <v>FALDA DE RES</v>
      </c>
      <c r="D17" s="60">
        <v>10.8</v>
      </c>
      <c r="E17" s="61"/>
      <c r="F17" s="60"/>
      <c r="G17" s="61"/>
      <c r="H17" s="60">
        <v>12</v>
      </c>
      <c r="I17" s="61">
        <v>10</v>
      </c>
      <c r="J17" s="60"/>
      <c r="K17" s="109">
        <f t="shared" si="0"/>
        <v>32.799999999999997</v>
      </c>
      <c r="L17" s="92"/>
      <c r="M17" s="106">
        <v>15</v>
      </c>
      <c r="N17" s="90" t="str">
        <f>(PRECIOS!B18)</f>
        <v>FALDA DE RES</v>
      </c>
      <c r="O17" s="60"/>
      <c r="P17" s="61"/>
      <c r="Q17" s="60"/>
      <c r="R17" s="61"/>
      <c r="S17" s="60"/>
      <c r="T17" s="61"/>
      <c r="U17" s="60"/>
      <c r="V17" s="110">
        <f t="shared" si="1"/>
        <v>0</v>
      </c>
    </row>
    <row r="18" spans="2:22">
      <c r="B18" s="106">
        <v>16</v>
      </c>
      <c r="C18" s="90" t="str">
        <f>(PRECIOS!B19)</f>
        <v>PULPA DE RES EN TROZO</v>
      </c>
      <c r="D18" s="60">
        <v>13.2</v>
      </c>
      <c r="E18" s="61"/>
      <c r="F18" s="60"/>
      <c r="G18" s="61"/>
      <c r="H18" s="60">
        <v>4.5</v>
      </c>
      <c r="I18" s="61"/>
      <c r="J18" s="60"/>
      <c r="K18" s="109">
        <f t="shared" si="0"/>
        <v>17.7</v>
      </c>
      <c r="L18" s="92"/>
      <c r="M18" s="106">
        <v>16</v>
      </c>
      <c r="N18" s="90" t="str">
        <f>(PRECIOS!B19)</f>
        <v>PULPA DE RES EN TROZO</v>
      </c>
      <c r="O18" s="60">
        <v>17</v>
      </c>
      <c r="P18" s="61"/>
      <c r="Q18" s="60"/>
      <c r="R18" s="61"/>
      <c r="S18" s="60">
        <v>6</v>
      </c>
      <c r="T18" s="61">
        <v>7</v>
      </c>
      <c r="U18" s="60"/>
      <c r="V18" s="110">
        <f t="shared" si="1"/>
        <v>30</v>
      </c>
    </row>
    <row r="19" spans="2:22">
      <c r="B19" s="106">
        <v>17</v>
      </c>
      <c r="C19" s="90" t="str">
        <f>(PRECIOS!B20)</f>
        <v>PULPA DE RES MOLIDA</v>
      </c>
      <c r="D19" s="60">
        <v>8.1</v>
      </c>
      <c r="E19" s="61">
        <v>1.1399999999999999</v>
      </c>
      <c r="F19" s="60">
        <v>11.22</v>
      </c>
      <c r="G19" s="61">
        <v>1.86</v>
      </c>
      <c r="H19" s="60">
        <v>1.08</v>
      </c>
      <c r="I19" s="61">
        <v>0.72</v>
      </c>
      <c r="J19" s="60">
        <v>12.12</v>
      </c>
      <c r="K19" s="109">
        <f t="shared" si="0"/>
        <v>36.239999999999995</v>
      </c>
      <c r="L19" s="92"/>
      <c r="M19" s="106">
        <v>17</v>
      </c>
      <c r="N19" s="90" t="str">
        <f>(PRECIOS!B20)</f>
        <v>PULPA DE RES MOLIDA</v>
      </c>
      <c r="O19" s="60">
        <v>10</v>
      </c>
      <c r="P19" s="61">
        <v>1</v>
      </c>
      <c r="Q19" s="60">
        <v>7.5</v>
      </c>
      <c r="R19" s="61">
        <v>1.5</v>
      </c>
      <c r="S19" s="60">
        <v>1</v>
      </c>
      <c r="T19" s="61">
        <v>1</v>
      </c>
      <c r="U19" s="60">
        <v>10</v>
      </c>
      <c r="V19" s="110">
        <f t="shared" si="1"/>
        <v>32</v>
      </c>
    </row>
    <row r="20" spans="2:22">
      <c r="B20" s="106">
        <v>18</v>
      </c>
      <c r="C20" s="90" t="str">
        <f>(PRECIOS!B21)</f>
        <v>HUEVO ENTERO</v>
      </c>
      <c r="D20" s="60">
        <v>10.29</v>
      </c>
      <c r="E20" s="61">
        <v>0.76</v>
      </c>
      <c r="F20" s="60">
        <v>21.5</v>
      </c>
      <c r="G20" s="61">
        <v>2.5499999999999998</v>
      </c>
      <c r="H20" s="60">
        <v>20.8</v>
      </c>
      <c r="I20" s="61">
        <v>2.41</v>
      </c>
      <c r="J20" s="60">
        <v>5.19</v>
      </c>
      <c r="K20" s="109">
        <f t="shared" si="0"/>
        <v>63.499999999999986</v>
      </c>
      <c r="L20" s="92"/>
      <c r="M20" s="106">
        <v>18</v>
      </c>
      <c r="N20" s="90" t="str">
        <f>(PRECIOS!B21)</f>
        <v>HUEVO ENTERO</v>
      </c>
      <c r="O20" s="60">
        <v>17</v>
      </c>
      <c r="P20" s="61"/>
      <c r="Q20" s="60">
        <v>20</v>
      </c>
      <c r="R20" s="61">
        <v>4.5</v>
      </c>
      <c r="S20" s="60">
        <v>21</v>
      </c>
      <c r="T20" s="61">
        <v>11</v>
      </c>
      <c r="U20" s="60">
        <v>4</v>
      </c>
      <c r="V20" s="110">
        <f t="shared" si="1"/>
        <v>77.5</v>
      </c>
    </row>
    <row r="21" spans="2:22">
      <c r="B21" s="106">
        <v>19</v>
      </c>
      <c r="C21" s="90" t="str">
        <f>(PRECIOS!B22)</f>
        <v>JAMÓN DE CERDO FINO CON 16% DE PROTEÍNA</v>
      </c>
      <c r="D21" s="60"/>
      <c r="E21" s="61"/>
      <c r="F21" s="60"/>
      <c r="G21" s="61"/>
      <c r="H21" s="60"/>
      <c r="I21" s="61"/>
      <c r="J21" s="60"/>
      <c r="K21" s="109">
        <f>SUM(D21:J21)</f>
        <v>0</v>
      </c>
      <c r="L21" s="92"/>
      <c r="M21" s="106">
        <v>19</v>
      </c>
      <c r="N21" s="90" t="str">
        <f>(PRECIOS!B22)</f>
        <v>JAMÓN DE CERDO FINO CON 16% DE PROTEÍNA</v>
      </c>
      <c r="O21" s="60"/>
      <c r="P21" s="61"/>
      <c r="Q21" s="60"/>
      <c r="R21" s="61"/>
      <c r="S21" s="60"/>
      <c r="T21" s="61"/>
      <c r="U21" s="60"/>
      <c r="V21" s="110">
        <f t="shared" si="1"/>
        <v>0</v>
      </c>
    </row>
    <row r="22" spans="2:22">
      <c r="B22" s="106">
        <v>20</v>
      </c>
      <c r="C22" s="90" t="str">
        <f>(PRECIOS!B23)</f>
        <v>JAMÓN DE PAVO</v>
      </c>
      <c r="D22" s="60">
        <v>0.66</v>
      </c>
      <c r="E22" s="61"/>
      <c r="F22" s="60"/>
      <c r="G22" s="61">
        <v>7.56</v>
      </c>
      <c r="H22" s="60">
        <v>2.58</v>
      </c>
      <c r="I22" s="61">
        <v>5.04</v>
      </c>
      <c r="J22" s="60">
        <v>3.84</v>
      </c>
      <c r="K22" s="109">
        <f t="shared" si="0"/>
        <v>19.68</v>
      </c>
      <c r="L22" s="92"/>
      <c r="M22" s="106">
        <v>20</v>
      </c>
      <c r="N22" s="90" t="str">
        <f>(PRECIOS!B23)</f>
        <v>JAMÓN DE PAVO</v>
      </c>
      <c r="O22" s="60">
        <v>8</v>
      </c>
      <c r="P22" s="61">
        <v>7</v>
      </c>
      <c r="Q22" s="60">
        <v>0.5</v>
      </c>
      <c r="R22" s="61">
        <v>5</v>
      </c>
      <c r="S22" s="60">
        <v>2</v>
      </c>
      <c r="T22" s="61">
        <v>5</v>
      </c>
      <c r="U22" s="60">
        <v>9</v>
      </c>
      <c r="V22" s="110">
        <f t="shared" si="1"/>
        <v>36.5</v>
      </c>
    </row>
    <row r="23" spans="2:22">
      <c r="B23" s="106">
        <v>21</v>
      </c>
      <c r="C23" s="90" t="str">
        <f>(PRECIOS!B24)</f>
        <v>JAMÓN DE PECHUGA DE PAVO</v>
      </c>
      <c r="D23" s="60">
        <v>1.88</v>
      </c>
      <c r="E23" s="61"/>
      <c r="F23" s="60"/>
      <c r="G23" s="61"/>
      <c r="H23" s="60"/>
      <c r="I23" s="61"/>
      <c r="J23" s="60"/>
      <c r="K23" s="109">
        <f t="shared" si="0"/>
        <v>1.88</v>
      </c>
      <c r="L23" s="92"/>
      <c r="M23" s="106">
        <v>21</v>
      </c>
      <c r="N23" s="90" t="str">
        <f>(PRECIOS!B24)</f>
        <v>JAMÓN DE PECHUGA DE PAVO</v>
      </c>
      <c r="O23" s="60"/>
      <c r="P23" s="61"/>
      <c r="Q23" s="60"/>
      <c r="R23" s="61"/>
      <c r="S23" s="60"/>
      <c r="T23" s="61"/>
      <c r="U23" s="60"/>
      <c r="V23" s="110">
        <f t="shared" si="1"/>
        <v>0</v>
      </c>
    </row>
    <row r="24" spans="2:22">
      <c r="B24" s="106">
        <v>22</v>
      </c>
      <c r="C24" s="90" t="str">
        <f>(PRECIOS!B25)</f>
        <v>MORTADELA</v>
      </c>
      <c r="D24" s="60"/>
      <c r="E24" s="61"/>
      <c r="F24" s="60"/>
      <c r="G24" s="61"/>
      <c r="H24" s="60"/>
      <c r="I24" s="61"/>
      <c r="J24" s="60"/>
      <c r="K24" s="109">
        <f t="shared" si="0"/>
        <v>0</v>
      </c>
      <c r="L24" s="92"/>
      <c r="M24" s="106">
        <v>22</v>
      </c>
      <c r="N24" s="90" t="str">
        <f>(PRECIOS!B25)</f>
        <v>MORTADELA</v>
      </c>
      <c r="O24" s="60"/>
      <c r="P24" s="61"/>
      <c r="Q24" s="60"/>
      <c r="R24" s="61"/>
      <c r="S24" s="60"/>
      <c r="T24" s="61"/>
      <c r="U24" s="60"/>
      <c r="V24" s="110">
        <f t="shared" si="1"/>
        <v>0</v>
      </c>
    </row>
    <row r="25" spans="2:22">
      <c r="B25" s="106">
        <v>23</v>
      </c>
      <c r="C25" s="90" t="str">
        <f>(PRECIOS!B26)</f>
        <v>SALCHICHA DE CERDO VIENA</v>
      </c>
      <c r="D25" s="60"/>
      <c r="E25" s="61"/>
      <c r="F25" s="60">
        <v>3</v>
      </c>
      <c r="G25" s="61"/>
      <c r="H25" s="60">
        <v>2.5</v>
      </c>
      <c r="I25" s="61"/>
      <c r="J25" s="60"/>
      <c r="K25" s="109">
        <f t="shared" si="0"/>
        <v>5.5</v>
      </c>
      <c r="L25" s="92"/>
      <c r="M25" s="106">
        <v>23</v>
      </c>
      <c r="N25" s="90" t="str">
        <f>(PRECIOS!B26)</f>
        <v>SALCHICHA DE CERDO VIENA</v>
      </c>
      <c r="O25" s="60"/>
      <c r="P25" s="61"/>
      <c r="Q25" s="60">
        <v>2.5</v>
      </c>
      <c r="R25" s="61"/>
      <c r="S25" s="60">
        <v>2.5</v>
      </c>
      <c r="T25" s="61"/>
      <c r="U25" s="60"/>
      <c r="V25" s="110">
        <f t="shared" si="1"/>
        <v>5</v>
      </c>
    </row>
    <row r="26" spans="2:22">
      <c r="B26" s="106">
        <v>24</v>
      </c>
      <c r="C26" s="90" t="str">
        <f>(PRECIOS!B27)</f>
        <v>SALCHICHA DE PAVO VIENA</v>
      </c>
      <c r="D26" s="60">
        <v>1.72</v>
      </c>
      <c r="E26" s="61"/>
      <c r="F26" s="60">
        <v>6</v>
      </c>
      <c r="G26" s="61"/>
      <c r="H26" s="60"/>
      <c r="I26" s="61"/>
      <c r="J26" s="60"/>
      <c r="K26" s="109">
        <f t="shared" si="0"/>
        <v>7.72</v>
      </c>
      <c r="L26" s="92"/>
      <c r="M26" s="106">
        <v>24</v>
      </c>
      <c r="N26" s="90" t="str">
        <f>(PRECIOS!B27)</f>
        <v>SALCHICHA DE PAVO VIENA</v>
      </c>
      <c r="O26" s="60">
        <v>2</v>
      </c>
      <c r="P26" s="61"/>
      <c r="Q26" s="60">
        <v>7</v>
      </c>
      <c r="R26" s="61"/>
      <c r="S26" s="60"/>
      <c r="T26" s="61"/>
      <c r="U26" s="60"/>
      <c r="V26" s="110">
        <f t="shared" si="1"/>
        <v>9</v>
      </c>
    </row>
    <row r="27" spans="2:22">
      <c r="B27" s="106">
        <v>25</v>
      </c>
      <c r="C27" s="90" t="str">
        <f>(PRECIOS!B28)</f>
        <v>TOCINO</v>
      </c>
      <c r="D27" s="60">
        <v>0.55000000000000004</v>
      </c>
      <c r="E27" s="61"/>
      <c r="F27" s="60">
        <v>1</v>
      </c>
      <c r="G27" s="61"/>
      <c r="H27" s="60"/>
      <c r="I27" s="61">
        <v>0.6</v>
      </c>
      <c r="J27" s="60"/>
      <c r="K27" s="109">
        <f t="shared" ref="K27" si="2">SUM(D27:J27)</f>
        <v>2.15</v>
      </c>
      <c r="L27" s="92"/>
      <c r="M27" s="106">
        <v>25</v>
      </c>
      <c r="N27" s="90" t="str">
        <f>(PRECIOS!B28)</f>
        <v>TOCINO</v>
      </c>
      <c r="O27" s="60">
        <v>0.7</v>
      </c>
      <c r="P27" s="61"/>
      <c r="Q27" s="60">
        <v>0.8</v>
      </c>
      <c r="R27" s="61"/>
      <c r="S27" s="60"/>
      <c r="T27" s="61">
        <v>0.7</v>
      </c>
      <c r="U27" s="60"/>
      <c r="V27" s="110">
        <f t="shared" ref="V27" si="3">SUM(O27:U27)</f>
        <v>2.2000000000000002</v>
      </c>
    </row>
    <row r="29" spans="2:22" ht="36.75">
      <c r="C29" s="195" t="s">
        <v>34</v>
      </c>
      <c r="D29" s="195"/>
      <c r="E29" s="195"/>
      <c r="F29" s="195" t="str">
        <f>(L1)</f>
        <v>11-17 enero</v>
      </c>
      <c r="G29" s="195"/>
      <c r="H29" s="195"/>
      <c r="I29" s="195"/>
      <c r="J29" s="195"/>
      <c r="K29" s="103"/>
      <c r="N29" s="195" t="s">
        <v>73</v>
      </c>
      <c r="O29" s="195"/>
      <c r="P29" s="195"/>
      <c r="Q29" s="195" t="str">
        <f>(L1)</f>
        <v>11-17 enero</v>
      </c>
      <c r="R29" s="195"/>
      <c r="S29" s="195"/>
      <c r="T29" s="195"/>
      <c r="U29" s="195"/>
    </row>
    <row r="30" spans="2:22">
      <c r="B30" s="105" t="s">
        <v>0</v>
      </c>
      <c r="C30" s="91" t="s">
        <v>64</v>
      </c>
      <c r="D30" s="91" t="s">
        <v>65</v>
      </c>
      <c r="E30" s="91" t="s">
        <v>66</v>
      </c>
      <c r="F30" s="91" t="s">
        <v>67</v>
      </c>
      <c r="G30" s="91" t="s">
        <v>68</v>
      </c>
      <c r="H30" s="91" t="s">
        <v>69</v>
      </c>
      <c r="I30" s="91" t="s">
        <v>70</v>
      </c>
      <c r="J30" s="91" t="s">
        <v>71</v>
      </c>
      <c r="K30" s="91" t="s">
        <v>97</v>
      </c>
      <c r="L30" s="92"/>
      <c r="M30" s="105" t="s">
        <v>0</v>
      </c>
      <c r="N30" s="91" t="s">
        <v>64</v>
      </c>
      <c r="O30" s="91" t="s">
        <v>71</v>
      </c>
      <c r="P30" s="91" t="s">
        <v>65</v>
      </c>
      <c r="Q30" s="91" t="s">
        <v>66</v>
      </c>
      <c r="R30" s="91" t="s">
        <v>67</v>
      </c>
      <c r="S30" s="91" t="s">
        <v>68</v>
      </c>
      <c r="T30" s="91" t="s">
        <v>98</v>
      </c>
      <c r="U30" s="112"/>
    </row>
    <row r="31" spans="2:22">
      <c r="B31" s="106">
        <v>1</v>
      </c>
      <c r="C31" s="90" t="str">
        <f>(PRECIOS!B4)</f>
        <v>CHULETA DE CERDO</v>
      </c>
      <c r="D31" s="60"/>
      <c r="E31" s="61"/>
      <c r="F31" s="60"/>
      <c r="G31" s="61"/>
      <c r="H31" s="60"/>
      <c r="I31" s="61"/>
      <c r="J31" s="60"/>
      <c r="K31" s="109">
        <f>SUM(D31:J31)</f>
        <v>0</v>
      </c>
      <c r="L31" s="92"/>
      <c r="M31" s="106">
        <v>1</v>
      </c>
      <c r="N31" s="90" t="str">
        <f>(PRECIOS!B4)</f>
        <v>CHULETA DE CERDO</v>
      </c>
      <c r="O31" s="60"/>
      <c r="P31" s="61"/>
      <c r="Q31" s="60"/>
      <c r="R31" s="61"/>
      <c r="S31" s="60"/>
      <c r="T31" s="111">
        <f>SUM(O31:S31)</f>
        <v>0</v>
      </c>
      <c r="U31" s="92"/>
    </row>
    <row r="32" spans="2:22">
      <c r="B32" s="106">
        <v>2</v>
      </c>
      <c r="C32" s="90" t="str">
        <f>(PRECIOS!B5)</f>
        <v>LOMO DE CERDO</v>
      </c>
      <c r="D32" s="60"/>
      <c r="E32" s="61"/>
      <c r="F32" s="60"/>
      <c r="G32" s="61">
        <v>7.2</v>
      </c>
      <c r="H32" s="60">
        <v>7.8</v>
      </c>
      <c r="I32" s="61"/>
      <c r="J32" s="60">
        <v>9</v>
      </c>
      <c r="K32" s="109">
        <f t="shared" ref="K32:K54" si="4">SUM(D32:J32)</f>
        <v>24</v>
      </c>
      <c r="L32" s="92"/>
      <c r="M32" s="106">
        <v>2</v>
      </c>
      <c r="N32" s="90" t="str">
        <f>(PRECIOS!B5)</f>
        <v>LOMO DE CERDO</v>
      </c>
      <c r="O32" s="60"/>
      <c r="P32" s="61">
        <v>6</v>
      </c>
      <c r="Q32" s="60"/>
      <c r="R32" s="61"/>
      <c r="S32" s="60"/>
      <c r="T32" s="111">
        <f t="shared" ref="T32:T54" si="5">SUM(O32:S32)</f>
        <v>6</v>
      </c>
      <c r="U32" s="92"/>
    </row>
    <row r="33" spans="2:21">
      <c r="B33" s="106">
        <v>3</v>
      </c>
      <c r="C33" s="90" t="str">
        <f>(PRECIOS!B6)</f>
        <v>PIERNA DE CERDO EN TROZO</v>
      </c>
      <c r="D33" s="60"/>
      <c r="E33" s="61"/>
      <c r="F33" s="60">
        <v>9</v>
      </c>
      <c r="G33" s="61"/>
      <c r="H33" s="60"/>
      <c r="I33" s="61"/>
      <c r="J33" s="60"/>
      <c r="K33" s="109">
        <f t="shared" si="4"/>
        <v>9</v>
      </c>
      <c r="L33" s="92"/>
      <c r="M33" s="106">
        <v>3</v>
      </c>
      <c r="N33" s="90" t="str">
        <f>(PRECIOS!B6)</f>
        <v>PIERNA DE CERDO EN TROZO</v>
      </c>
      <c r="O33" s="60"/>
      <c r="P33" s="61"/>
      <c r="Q33" s="60"/>
      <c r="R33" s="61"/>
      <c r="S33" s="60"/>
      <c r="T33" s="111">
        <f t="shared" si="5"/>
        <v>0</v>
      </c>
      <c r="U33" s="92"/>
    </row>
    <row r="34" spans="2:21">
      <c r="B34" s="106">
        <v>4</v>
      </c>
      <c r="C34" s="90" t="str">
        <f>(PRECIOS!B7)</f>
        <v>PIERNA DE CERDO MOLIDA</v>
      </c>
      <c r="D34" s="60"/>
      <c r="E34" s="61"/>
      <c r="F34" s="60"/>
      <c r="G34" s="61"/>
      <c r="H34" s="60"/>
      <c r="I34" s="61"/>
      <c r="J34" s="60"/>
      <c r="K34" s="109">
        <f t="shared" si="4"/>
        <v>0</v>
      </c>
      <c r="L34" s="92"/>
      <c r="M34" s="106">
        <v>4</v>
      </c>
      <c r="N34" s="90" t="str">
        <f>(PRECIOS!B7)</f>
        <v>PIERNA DE CERDO MOLIDA</v>
      </c>
      <c r="O34" s="60"/>
      <c r="P34" s="61"/>
      <c r="Q34" s="60"/>
      <c r="R34" s="61"/>
      <c r="S34" s="60"/>
      <c r="T34" s="111">
        <f t="shared" si="5"/>
        <v>0</v>
      </c>
      <c r="U34" s="92"/>
    </row>
    <row r="35" spans="2:21">
      <c r="B35" s="106">
        <v>5</v>
      </c>
      <c r="C35" s="90" t="str">
        <f>(PRECIOS!B8)</f>
        <v>MERO EN FILETE CONGELADO</v>
      </c>
      <c r="D35" s="60"/>
      <c r="E35" s="61"/>
      <c r="F35" s="60"/>
      <c r="G35" s="61"/>
      <c r="H35" s="60"/>
      <c r="I35" s="61">
        <v>19.5</v>
      </c>
      <c r="J35" s="60"/>
      <c r="K35" s="109">
        <f t="shared" si="4"/>
        <v>19.5</v>
      </c>
      <c r="L35" s="92"/>
      <c r="M35" s="106">
        <v>5</v>
      </c>
      <c r="N35" s="90" t="str">
        <f>(PRECIOS!B8)</f>
        <v>MERO EN FILETE CONGELADO</v>
      </c>
      <c r="O35" s="60"/>
      <c r="P35" s="61"/>
      <c r="Q35" s="60"/>
      <c r="R35" s="61"/>
      <c r="S35" s="60"/>
      <c r="T35" s="111">
        <f t="shared" si="5"/>
        <v>0</v>
      </c>
      <c r="U35" s="92"/>
    </row>
    <row r="36" spans="2:21">
      <c r="B36" s="106">
        <v>6</v>
      </c>
      <c r="C36" s="90" t="str">
        <f>(PRECIOS!B9)</f>
        <v xml:space="preserve">PECHUGA DE POLLO </v>
      </c>
      <c r="D36" s="60"/>
      <c r="E36" s="61"/>
      <c r="F36" s="60"/>
      <c r="G36" s="61"/>
      <c r="H36" s="60"/>
      <c r="I36" s="61"/>
      <c r="J36" s="60"/>
      <c r="K36" s="109">
        <f t="shared" si="4"/>
        <v>0</v>
      </c>
      <c r="L36" s="92"/>
      <c r="M36" s="106">
        <v>6</v>
      </c>
      <c r="N36" s="90" t="str">
        <f>(PRECIOS!B9)</f>
        <v xml:space="preserve">PECHUGA DE POLLO </v>
      </c>
      <c r="O36" s="60"/>
      <c r="P36" s="61"/>
      <c r="Q36" s="60"/>
      <c r="R36" s="61"/>
      <c r="S36" s="60"/>
      <c r="T36" s="111">
        <f t="shared" si="5"/>
        <v>0</v>
      </c>
      <c r="U36" s="92"/>
    </row>
    <row r="37" spans="2:21">
      <c r="B37" s="106">
        <v>7</v>
      </c>
      <c r="C37" s="90" t="str">
        <f>(PRECIOS!B10)</f>
        <v>PECHUGA DE POLLO DESHUESADA</v>
      </c>
      <c r="D37" s="60">
        <v>8.15</v>
      </c>
      <c r="E37" s="61">
        <v>17.5</v>
      </c>
      <c r="F37" s="60">
        <v>1.1000000000000001</v>
      </c>
      <c r="G37" s="61">
        <v>12.3</v>
      </c>
      <c r="H37" s="60">
        <v>19.100000000000001</v>
      </c>
      <c r="I37" s="61">
        <v>3.13</v>
      </c>
      <c r="J37" s="60">
        <v>21.38</v>
      </c>
      <c r="K37" s="109">
        <f t="shared" si="4"/>
        <v>82.66</v>
      </c>
      <c r="L37" s="92"/>
      <c r="M37" s="106">
        <v>7</v>
      </c>
      <c r="N37" s="90" t="str">
        <f>(PRECIOS!B10)</f>
        <v>PECHUGA DE POLLO DESHUESADA</v>
      </c>
      <c r="O37" s="60">
        <v>10</v>
      </c>
      <c r="P37" s="61">
        <v>10</v>
      </c>
      <c r="Q37" s="60">
        <v>2.5</v>
      </c>
      <c r="R37" s="61">
        <v>5</v>
      </c>
      <c r="S37" s="60">
        <v>1.5</v>
      </c>
      <c r="T37" s="111">
        <f t="shared" si="5"/>
        <v>29</v>
      </c>
      <c r="U37" s="92"/>
    </row>
    <row r="38" spans="2:21">
      <c r="B38" s="106">
        <v>8</v>
      </c>
      <c r="C38" s="90" t="str">
        <f>(PRECIOS!B11)</f>
        <v>PECHUGA  DESHUESADA EN BISTEC</v>
      </c>
      <c r="D38" s="60">
        <v>1.35</v>
      </c>
      <c r="E38" s="61">
        <v>2.7</v>
      </c>
      <c r="F38" s="60">
        <v>9.27</v>
      </c>
      <c r="G38" s="61">
        <v>1.35</v>
      </c>
      <c r="H38" s="60"/>
      <c r="I38" s="61"/>
      <c r="J38" s="60"/>
      <c r="K38" s="109">
        <f t="shared" si="4"/>
        <v>14.67</v>
      </c>
      <c r="L38" s="92"/>
      <c r="M38" s="106">
        <v>8</v>
      </c>
      <c r="N38" s="90" t="str">
        <f>(PRECIOS!B11)</f>
        <v>PECHUGA  DESHUESADA EN BISTEC</v>
      </c>
      <c r="O38" s="60"/>
      <c r="P38" s="61"/>
      <c r="Q38" s="60"/>
      <c r="R38" s="61"/>
      <c r="S38" s="60"/>
      <c r="T38" s="111">
        <f t="shared" si="5"/>
        <v>0</v>
      </c>
      <c r="U38" s="92"/>
    </row>
    <row r="39" spans="2:21">
      <c r="B39" s="106">
        <v>9</v>
      </c>
      <c r="C39" s="90" t="str">
        <f>(PRECIOS!B12)</f>
        <v>PECHUGA DE POLLO  MÓLIDA</v>
      </c>
      <c r="D39" s="60"/>
      <c r="E39" s="61"/>
      <c r="F39" s="60"/>
      <c r="G39" s="61"/>
      <c r="H39" s="60"/>
      <c r="I39" s="61"/>
      <c r="J39" s="60"/>
      <c r="K39" s="109">
        <f>SUM(D39:J39)</f>
        <v>0</v>
      </c>
      <c r="L39" s="92"/>
      <c r="M39" s="106">
        <v>9</v>
      </c>
      <c r="N39" s="90" t="str">
        <f>(PRECIOS!B12)</f>
        <v>PECHUGA DE POLLO  MÓLIDA</v>
      </c>
      <c r="O39" s="60"/>
      <c r="P39" s="61"/>
      <c r="Q39" s="60"/>
      <c r="R39" s="61"/>
      <c r="S39" s="60"/>
      <c r="T39" s="111">
        <f t="shared" si="5"/>
        <v>0</v>
      </c>
      <c r="U39" s="92"/>
    </row>
    <row r="40" spans="2:21" ht="22.5">
      <c r="B40" s="106">
        <v>10</v>
      </c>
      <c r="C40" s="90" t="str">
        <f>(PRECIOS!B13)</f>
        <v>PIERNA Y MUSLO DE POLLO SIN PIEL EN FORMA DE PISTOLA</v>
      </c>
      <c r="D40" s="60">
        <v>12.45</v>
      </c>
      <c r="E40" s="61">
        <v>15.75</v>
      </c>
      <c r="F40" s="60"/>
      <c r="G40" s="61">
        <v>9.75</v>
      </c>
      <c r="H40" s="60"/>
      <c r="I40" s="61">
        <v>15.45</v>
      </c>
      <c r="J40" s="60"/>
      <c r="K40" s="109">
        <f t="shared" si="4"/>
        <v>53.400000000000006</v>
      </c>
      <c r="L40" s="92"/>
      <c r="M40" s="106">
        <v>10</v>
      </c>
      <c r="N40" s="90" t="str">
        <f>(PRECIOS!B13)</f>
        <v>PIERNA Y MUSLO DE POLLO SIN PIEL EN FORMA DE PISTOLA</v>
      </c>
      <c r="O40" s="60"/>
      <c r="P40" s="61"/>
      <c r="Q40" s="60"/>
      <c r="R40" s="61"/>
      <c r="S40" s="60"/>
      <c r="T40" s="111">
        <f t="shared" si="5"/>
        <v>0</v>
      </c>
      <c r="U40" s="92"/>
    </row>
    <row r="41" spans="2:21">
      <c r="B41" s="106">
        <v>11</v>
      </c>
      <c r="C41" s="90" t="str">
        <f>(PRECIOS!B14)</f>
        <v>POLLO ENTERO</v>
      </c>
      <c r="D41" s="60"/>
      <c r="E41" s="61"/>
      <c r="F41" s="60"/>
      <c r="G41" s="61"/>
      <c r="H41" s="60"/>
      <c r="I41" s="61"/>
      <c r="J41" s="60"/>
      <c r="K41" s="109">
        <f t="shared" si="4"/>
        <v>0</v>
      </c>
      <c r="L41" s="92"/>
      <c r="M41" s="106">
        <v>11</v>
      </c>
      <c r="N41" s="90" t="str">
        <f>(PRECIOS!B14)</f>
        <v>POLLO ENTERO</v>
      </c>
      <c r="O41" s="60"/>
      <c r="P41" s="61"/>
      <c r="Q41" s="60"/>
      <c r="R41" s="61"/>
      <c r="S41" s="60"/>
      <c r="T41" s="111">
        <f t="shared" si="5"/>
        <v>0</v>
      </c>
      <c r="U41" s="92"/>
    </row>
    <row r="42" spans="2:21">
      <c r="B42" s="106">
        <v>12</v>
      </c>
      <c r="C42" s="90" t="str">
        <f>(PRECIOS!B15)</f>
        <v>BISTEC DE PIERNA DE RES</v>
      </c>
      <c r="D42" s="60"/>
      <c r="E42" s="61">
        <v>9.6</v>
      </c>
      <c r="F42" s="60">
        <v>6</v>
      </c>
      <c r="G42" s="61">
        <v>14.7</v>
      </c>
      <c r="H42" s="60">
        <v>9</v>
      </c>
      <c r="I42" s="61"/>
      <c r="J42" s="60"/>
      <c r="K42" s="109">
        <f t="shared" si="4"/>
        <v>39.299999999999997</v>
      </c>
      <c r="L42" s="92"/>
      <c r="M42" s="106">
        <v>12</v>
      </c>
      <c r="N42" s="90" t="str">
        <f>(PRECIOS!B15)</f>
        <v>BISTEC DE PIERNA DE RES</v>
      </c>
      <c r="O42" s="60"/>
      <c r="P42" s="61"/>
      <c r="Q42" s="60"/>
      <c r="R42" s="61">
        <v>4</v>
      </c>
      <c r="S42" s="60"/>
      <c r="T42" s="111">
        <f t="shared" si="5"/>
        <v>4</v>
      </c>
      <c r="U42" s="92"/>
    </row>
    <row r="43" spans="2:21">
      <c r="B43" s="106">
        <v>13</v>
      </c>
      <c r="C43" s="90" t="str">
        <f>(PRECIOS!B16)</f>
        <v>CHAMBARETE DE RES</v>
      </c>
      <c r="D43" s="60"/>
      <c r="E43" s="61"/>
      <c r="F43" s="60"/>
      <c r="G43" s="61"/>
      <c r="H43" s="60"/>
      <c r="I43" s="61"/>
      <c r="J43" s="60"/>
      <c r="K43" s="109">
        <f t="shared" si="4"/>
        <v>0</v>
      </c>
      <c r="L43" s="92"/>
      <c r="M43" s="106">
        <v>13</v>
      </c>
      <c r="N43" s="90" t="str">
        <f>(PRECIOS!B16)</f>
        <v>CHAMBARETE DE RES</v>
      </c>
      <c r="O43" s="60"/>
      <c r="P43" s="61"/>
      <c r="Q43" s="60"/>
      <c r="R43" s="61"/>
      <c r="S43" s="60"/>
      <c r="T43" s="111">
        <f t="shared" si="5"/>
        <v>0</v>
      </c>
      <c r="U43" s="92"/>
    </row>
    <row r="44" spans="2:21">
      <c r="B44" s="106">
        <v>14</v>
      </c>
      <c r="C44" s="90" t="str">
        <f>(PRECIOS!B17)</f>
        <v>CUETE DE PIERNA DE RES</v>
      </c>
      <c r="D44" s="60"/>
      <c r="E44" s="61"/>
      <c r="F44" s="60"/>
      <c r="G44" s="61"/>
      <c r="H44" s="60"/>
      <c r="I44" s="61"/>
      <c r="J44" s="60"/>
      <c r="K44" s="109">
        <f t="shared" si="4"/>
        <v>0</v>
      </c>
      <c r="L44" s="92"/>
      <c r="M44" s="106">
        <v>14</v>
      </c>
      <c r="N44" s="90" t="str">
        <f>(PRECIOS!B17)</f>
        <v>CUETE DE PIERNA DE RES</v>
      </c>
      <c r="O44" s="60"/>
      <c r="P44" s="61"/>
      <c r="Q44" s="60"/>
      <c r="R44" s="61"/>
      <c r="S44" s="60"/>
      <c r="T44" s="111">
        <f t="shared" si="5"/>
        <v>0</v>
      </c>
      <c r="U44" s="92"/>
    </row>
    <row r="45" spans="2:21">
      <c r="B45" s="106">
        <v>15</v>
      </c>
      <c r="C45" s="90" t="str">
        <f>(PRECIOS!B18)</f>
        <v>FALDA DE RES</v>
      </c>
      <c r="D45" s="60"/>
      <c r="E45" s="61"/>
      <c r="F45" s="60"/>
      <c r="G45" s="61"/>
      <c r="H45" s="60"/>
      <c r="I45" s="61"/>
      <c r="J45" s="60"/>
      <c r="K45" s="109">
        <f t="shared" si="4"/>
        <v>0</v>
      </c>
      <c r="L45" s="92"/>
      <c r="M45" s="106">
        <v>15</v>
      </c>
      <c r="N45" s="90" t="str">
        <f>(PRECIOS!B18)</f>
        <v>FALDA DE RES</v>
      </c>
      <c r="O45" s="60"/>
      <c r="P45" s="61"/>
      <c r="Q45" s="60"/>
      <c r="R45" s="61"/>
      <c r="S45" s="60"/>
      <c r="T45" s="111">
        <f t="shared" si="5"/>
        <v>0</v>
      </c>
      <c r="U45" s="92"/>
    </row>
    <row r="46" spans="2:21">
      <c r="B46" s="106">
        <v>16</v>
      </c>
      <c r="C46" s="90" t="str">
        <f>(PRECIOS!B19)</f>
        <v>PULPA DE RES EN TROZO</v>
      </c>
      <c r="D46" s="60">
        <v>9</v>
      </c>
      <c r="E46" s="61"/>
      <c r="F46" s="60"/>
      <c r="G46" s="61"/>
      <c r="H46" s="60">
        <v>5.4</v>
      </c>
      <c r="I46" s="61">
        <v>5.4</v>
      </c>
      <c r="J46" s="60"/>
      <c r="K46" s="109">
        <f t="shared" si="4"/>
        <v>19.8</v>
      </c>
      <c r="L46" s="92"/>
      <c r="M46" s="106">
        <v>16</v>
      </c>
      <c r="N46" s="90" t="str">
        <f>(PRECIOS!B19)</f>
        <v>PULPA DE RES EN TROZO</v>
      </c>
      <c r="O46" s="60">
        <v>6</v>
      </c>
      <c r="P46" s="61"/>
      <c r="Q46" s="60"/>
      <c r="R46" s="61"/>
      <c r="S46" s="60"/>
      <c r="T46" s="111">
        <f t="shared" si="5"/>
        <v>6</v>
      </c>
      <c r="U46" s="92"/>
    </row>
    <row r="47" spans="2:21">
      <c r="B47" s="106">
        <v>17</v>
      </c>
      <c r="C47" s="90" t="str">
        <f>(PRECIOS!B20)</f>
        <v>PULPA DE RES MOLIDA</v>
      </c>
      <c r="D47" s="60">
        <v>5.85</v>
      </c>
      <c r="E47" s="61">
        <v>0.97</v>
      </c>
      <c r="F47" s="60">
        <v>7.5</v>
      </c>
      <c r="G47" s="61">
        <v>1.4</v>
      </c>
      <c r="H47" s="60">
        <v>1.02</v>
      </c>
      <c r="I47" s="61">
        <v>1.35</v>
      </c>
      <c r="J47" s="60">
        <v>9.4600000000000009</v>
      </c>
      <c r="K47" s="109">
        <f t="shared" si="4"/>
        <v>27.550000000000004</v>
      </c>
      <c r="L47" s="92"/>
      <c r="M47" s="106">
        <v>17</v>
      </c>
      <c r="N47" s="90" t="str">
        <f>(PRECIOS!B20)</f>
        <v>PULPA DE RES MOLIDA</v>
      </c>
      <c r="O47" s="60">
        <v>4</v>
      </c>
      <c r="P47" s="61">
        <v>2.5</v>
      </c>
      <c r="Q47" s="60">
        <v>1.5</v>
      </c>
      <c r="R47" s="61"/>
      <c r="S47" s="60">
        <v>5</v>
      </c>
      <c r="T47" s="111">
        <f t="shared" si="5"/>
        <v>13</v>
      </c>
      <c r="U47" s="92"/>
    </row>
    <row r="48" spans="2:21">
      <c r="B48" s="106">
        <v>18</v>
      </c>
      <c r="C48" s="90" t="str">
        <f>(PRECIOS!B21)</f>
        <v>HUEVO ENTERO</v>
      </c>
      <c r="D48" s="60">
        <v>14</v>
      </c>
      <c r="E48" s="61">
        <v>1</v>
      </c>
      <c r="F48" s="60">
        <v>17</v>
      </c>
      <c r="G48" s="61">
        <v>5</v>
      </c>
      <c r="H48" s="60">
        <v>16</v>
      </c>
      <c r="I48" s="61">
        <v>9</v>
      </c>
      <c r="J48" s="60">
        <v>4</v>
      </c>
      <c r="K48" s="109">
        <f t="shared" si="4"/>
        <v>66</v>
      </c>
      <c r="L48" s="92"/>
      <c r="M48" s="106">
        <v>18</v>
      </c>
      <c r="N48" s="90" t="str">
        <f>(PRECIOS!B21)</f>
        <v>HUEVO ENTERO</v>
      </c>
      <c r="O48" s="60">
        <v>12</v>
      </c>
      <c r="P48" s="61">
        <v>5</v>
      </c>
      <c r="Q48" s="60">
        <v>4</v>
      </c>
      <c r="R48" s="61">
        <v>5</v>
      </c>
      <c r="S48" s="60">
        <v>5</v>
      </c>
      <c r="T48" s="111">
        <f t="shared" si="5"/>
        <v>31</v>
      </c>
      <c r="U48" s="92"/>
    </row>
    <row r="49" spans="2:21">
      <c r="B49" s="106">
        <v>19</v>
      </c>
      <c r="C49" s="90" t="str">
        <f>(PRECIOS!B22)</f>
        <v>JAMÓN DE CERDO FINO CON 16% DE PROTEÍNA</v>
      </c>
      <c r="D49" s="60">
        <v>3.6</v>
      </c>
      <c r="E49" s="61">
        <v>3.9</v>
      </c>
      <c r="F49" s="60"/>
      <c r="G49" s="61"/>
      <c r="H49" s="60"/>
      <c r="I49" s="61"/>
      <c r="J49" s="60">
        <v>4.8</v>
      </c>
      <c r="K49" s="109">
        <f t="shared" si="4"/>
        <v>12.3</v>
      </c>
      <c r="L49" s="92"/>
      <c r="M49" s="106">
        <v>19</v>
      </c>
      <c r="N49" s="90" t="str">
        <f>(PRECIOS!B22)</f>
        <v>JAMÓN DE CERDO FINO CON 16% DE PROTEÍNA</v>
      </c>
      <c r="O49" s="60"/>
      <c r="P49" s="61"/>
      <c r="Q49" s="60"/>
      <c r="R49" s="61"/>
      <c r="S49" s="60"/>
      <c r="T49" s="111">
        <f t="shared" si="5"/>
        <v>0</v>
      </c>
      <c r="U49" s="92"/>
    </row>
    <row r="50" spans="2:21">
      <c r="B50" s="106">
        <v>20</v>
      </c>
      <c r="C50" s="90" t="str">
        <f>(PRECIOS!B23)</f>
        <v>JAMÓN DE PAVO</v>
      </c>
      <c r="D50" s="60">
        <v>0.9</v>
      </c>
      <c r="E50" s="61"/>
      <c r="F50" s="60">
        <v>0.21</v>
      </c>
      <c r="G50" s="61">
        <v>3.6</v>
      </c>
      <c r="H50" s="60">
        <v>1.35</v>
      </c>
      <c r="I50" s="61">
        <v>3</v>
      </c>
      <c r="J50" s="60">
        <v>2.7</v>
      </c>
      <c r="K50" s="109">
        <f t="shared" si="4"/>
        <v>11.760000000000002</v>
      </c>
      <c r="L50" s="92"/>
      <c r="M50" s="106">
        <v>20</v>
      </c>
      <c r="N50" s="90" t="str">
        <f>(PRECIOS!B23)</f>
        <v>JAMÓN DE PAVO</v>
      </c>
      <c r="O50" s="60"/>
      <c r="P50" s="61"/>
      <c r="Q50" s="60"/>
      <c r="R50" s="61"/>
      <c r="S50" s="60"/>
      <c r="T50" s="111">
        <f t="shared" si="5"/>
        <v>0</v>
      </c>
      <c r="U50" s="92"/>
    </row>
    <row r="51" spans="2:21">
      <c r="B51" s="106">
        <v>21</v>
      </c>
      <c r="C51" s="90" t="str">
        <f>(PRECIOS!B24)</f>
        <v>JAMÓN DE PECHUGA DE PAVO</v>
      </c>
      <c r="D51" s="60">
        <v>0.9</v>
      </c>
      <c r="E51" s="61"/>
      <c r="F51" s="60"/>
      <c r="G51" s="61"/>
      <c r="H51" s="60"/>
      <c r="I51" s="61"/>
      <c r="J51" s="60"/>
      <c r="K51" s="109">
        <f t="shared" si="4"/>
        <v>0.9</v>
      </c>
      <c r="L51" s="92"/>
      <c r="M51" s="106">
        <v>21</v>
      </c>
      <c r="N51" s="90" t="str">
        <f>(PRECIOS!B24)</f>
        <v>JAMÓN DE PECHUGA DE PAVO</v>
      </c>
      <c r="O51" s="60"/>
      <c r="P51" s="61"/>
      <c r="Q51" s="60"/>
      <c r="R51" s="61"/>
      <c r="S51" s="60"/>
      <c r="T51" s="111">
        <f t="shared" si="5"/>
        <v>0</v>
      </c>
      <c r="U51" s="92"/>
    </row>
    <row r="52" spans="2:21">
      <c r="B52" s="106">
        <v>22</v>
      </c>
      <c r="C52" s="90" t="str">
        <f>(PRECIOS!B25)</f>
        <v>MORTADELA</v>
      </c>
      <c r="D52" s="60"/>
      <c r="E52" s="61"/>
      <c r="F52" s="60"/>
      <c r="G52" s="61"/>
      <c r="H52" s="60"/>
      <c r="I52" s="61"/>
      <c r="J52" s="60"/>
      <c r="K52" s="109">
        <f t="shared" si="4"/>
        <v>0</v>
      </c>
      <c r="L52" s="92"/>
      <c r="M52" s="106">
        <v>22</v>
      </c>
      <c r="N52" s="90" t="str">
        <f>(PRECIOS!B25)</f>
        <v>MORTADELA</v>
      </c>
      <c r="O52" s="60"/>
      <c r="P52" s="61"/>
      <c r="Q52" s="60"/>
      <c r="R52" s="61"/>
      <c r="S52" s="60"/>
      <c r="T52" s="111">
        <f t="shared" si="5"/>
        <v>0</v>
      </c>
      <c r="U52" s="92"/>
    </row>
    <row r="53" spans="2:21">
      <c r="B53" s="106">
        <v>23</v>
      </c>
      <c r="C53" s="90" t="str">
        <f>(PRECIOS!B26)</f>
        <v>SALCHICHA DE CERDO VIENA</v>
      </c>
      <c r="D53" s="60"/>
      <c r="E53" s="61"/>
      <c r="F53" s="60">
        <v>1.8</v>
      </c>
      <c r="G53" s="61"/>
      <c r="H53" s="60">
        <v>1.75</v>
      </c>
      <c r="I53" s="61"/>
      <c r="J53" s="60"/>
      <c r="K53" s="109">
        <f t="shared" si="4"/>
        <v>3.55</v>
      </c>
      <c r="L53" s="92"/>
      <c r="M53" s="106">
        <v>23</v>
      </c>
      <c r="N53" s="90" t="str">
        <f>(PRECIOS!B26)</f>
        <v>SALCHICHA DE CERDO VIENA</v>
      </c>
      <c r="O53" s="60"/>
      <c r="P53" s="61"/>
      <c r="Q53" s="60"/>
      <c r="R53" s="61"/>
      <c r="S53" s="60"/>
      <c r="T53" s="111">
        <f t="shared" si="5"/>
        <v>0</v>
      </c>
      <c r="U53" s="92"/>
    </row>
    <row r="54" spans="2:21">
      <c r="B54" s="106">
        <v>24</v>
      </c>
      <c r="C54" s="90" t="str">
        <f>(PRECIOS!B27)</f>
        <v>SALCHICHA DE PAVO VIENA</v>
      </c>
      <c r="D54" s="60">
        <v>0.9</v>
      </c>
      <c r="E54" s="61"/>
      <c r="F54" s="60">
        <v>4.2</v>
      </c>
      <c r="G54" s="61"/>
      <c r="H54" s="60"/>
      <c r="I54" s="61"/>
      <c r="J54" s="60"/>
      <c r="K54" s="109">
        <f t="shared" si="4"/>
        <v>5.1000000000000005</v>
      </c>
      <c r="L54" s="92"/>
      <c r="M54" s="106">
        <v>24</v>
      </c>
      <c r="N54" s="90" t="str">
        <f>(PRECIOS!B27)</f>
        <v>SALCHICHA DE PAVO VIENA</v>
      </c>
      <c r="O54" s="60"/>
      <c r="P54" s="61"/>
      <c r="Q54" s="60"/>
      <c r="R54" s="61"/>
      <c r="S54" s="60"/>
      <c r="T54" s="111">
        <f t="shared" si="5"/>
        <v>0</v>
      </c>
      <c r="U54" s="92"/>
    </row>
    <row r="55" spans="2:21">
      <c r="B55" s="106">
        <v>25</v>
      </c>
      <c r="C55" s="90" t="str">
        <f>(PRECIOS!B28)</f>
        <v>TOCINO</v>
      </c>
      <c r="D55" s="60">
        <v>0.4</v>
      </c>
      <c r="E55" s="61"/>
      <c r="F55" s="60">
        <v>0.6</v>
      </c>
      <c r="G55" s="61"/>
      <c r="H55" s="60"/>
      <c r="I55" s="61">
        <v>0.4</v>
      </c>
      <c r="J55" s="60"/>
      <c r="K55" s="109">
        <f t="shared" ref="K55" si="6">SUM(D55:J55)</f>
        <v>1.4</v>
      </c>
      <c r="M55" s="106">
        <v>25</v>
      </c>
      <c r="N55" s="90" t="str">
        <f>(PRECIOS!B28)</f>
        <v>TOCINO</v>
      </c>
      <c r="O55" s="60"/>
      <c r="P55" s="61"/>
      <c r="Q55" s="60"/>
      <c r="R55" s="61"/>
      <c r="S55" s="60"/>
      <c r="T55" s="111">
        <f t="shared" ref="T55" si="7">SUM(O55:S55)</f>
        <v>0</v>
      </c>
    </row>
  </sheetData>
  <mergeCells count="8">
    <mergeCell ref="C1:E1"/>
    <mergeCell ref="F1:J1"/>
    <mergeCell ref="N1:P1"/>
    <mergeCell ref="Q1:U1"/>
    <mergeCell ref="C29:E29"/>
    <mergeCell ref="F29:J29"/>
    <mergeCell ref="N29:P29"/>
    <mergeCell ref="Q29:U29"/>
  </mergeCells>
  <pageMargins left="0.25" right="0.25" top="0.75" bottom="0.75" header="0.3" footer="0.3"/>
  <pageSetup scale="44" orientation="landscape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3F7E-9595-4819-853E-1AD5094CAF4E}">
  <dimension ref="A1:I10"/>
  <sheetViews>
    <sheetView workbookViewId="0">
      <selection sqref="A1:I10"/>
    </sheetView>
  </sheetViews>
  <sheetFormatPr baseColWidth="10" defaultRowHeight="15"/>
  <cols>
    <col min="2" max="2" width="13.140625" customWidth="1"/>
    <col min="4" max="4" width="13.140625" customWidth="1"/>
    <col min="8" max="8" width="12.42578125" customWidth="1"/>
  </cols>
  <sheetData>
    <row r="1" spans="1:9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102</v>
      </c>
      <c r="H1" t="s">
        <v>70</v>
      </c>
      <c r="I1" t="s">
        <v>71</v>
      </c>
    </row>
    <row r="2" spans="1:9">
      <c r="A2">
        <v>7</v>
      </c>
      <c r="B2" t="s">
        <v>74</v>
      </c>
      <c r="G2">
        <v>0.7</v>
      </c>
      <c r="H2">
        <v>4.8</v>
      </c>
    </row>
    <row r="3" spans="1:9">
      <c r="A3">
        <v>23</v>
      </c>
      <c r="B3" t="s">
        <v>62</v>
      </c>
      <c r="G3">
        <v>0.5</v>
      </c>
      <c r="H3">
        <v>6.6</v>
      </c>
    </row>
    <row r="4" spans="1:9">
      <c r="A4">
        <v>6</v>
      </c>
      <c r="B4" t="s">
        <v>55</v>
      </c>
      <c r="F4">
        <v>2.2999999999999998</v>
      </c>
      <c r="G4">
        <v>34.1</v>
      </c>
      <c r="H4">
        <v>17.600000000000001</v>
      </c>
      <c r="I4">
        <v>1.6</v>
      </c>
    </row>
    <row r="5" spans="1:9">
      <c r="A5">
        <v>8</v>
      </c>
      <c r="B5" t="s">
        <v>75</v>
      </c>
      <c r="G5">
        <v>4.2</v>
      </c>
      <c r="H5">
        <v>1.2</v>
      </c>
    </row>
    <row r="6" spans="1:9">
      <c r="A6">
        <v>11</v>
      </c>
      <c r="B6" t="s">
        <v>44</v>
      </c>
      <c r="F6">
        <v>32.200000000000003</v>
      </c>
      <c r="G6">
        <v>27.4</v>
      </c>
      <c r="H6">
        <v>16.8</v>
      </c>
    </row>
    <row r="7" spans="1:9">
      <c r="A7">
        <v>16</v>
      </c>
      <c r="B7" t="s">
        <v>60</v>
      </c>
      <c r="G7">
        <v>1.5</v>
      </c>
      <c r="H7">
        <v>7.9</v>
      </c>
      <c r="I7">
        <v>18.600000000000001</v>
      </c>
    </row>
    <row r="8" spans="1:9">
      <c r="A8">
        <v>17</v>
      </c>
      <c r="B8" t="s">
        <v>49</v>
      </c>
      <c r="F8">
        <v>12.6</v>
      </c>
      <c r="G8">
        <v>4.4000000000000004</v>
      </c>
      <c r="H8">
        <v>6.9</v>
      </c>
      <c r="I8">
        <v>10.1</v>
      </c>
    </row>
    <row r="9" spans="1:9">
      <c r="A9">
        <v>22</v>
      </c>
      <c r="B9" t="s">
        <v>61</v>
      </c>
      <c r="G9">
        <v>1.1000000000000001</v>
      </c>
      <c r="I9">
        <v>6.4</v>
      </c>
    </row>
    <row r="10" spans="1:9">
      <c r="A10">
        <v>24</v>
      </c>
      <c r="B10" t="s">
        <v>63</v>
      </c>
      <c r="G10">
        <v>1.1000000000000001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B1:L196"/>
  <sheetViews>
    <sheetView topLeftCell="A163" zoomScale="80" zoomScaleNormal="80" workbookViewId="0">
      <selection activeCell="L178" sqref="I170:L178"/>
    </sheetView>
  </sheetViews>
  <sheetFormatPr baseColWidth="10" defaultRowHeight="15"/>
  <cols>
    <col min="1" max="1" width="2.7109375" customWidth="1"/>
    <col min="2" max="2" width="6.7109375" style="52" customWidth="1"/>
    <col min="3" max="3" width="43" bestFit="1" customWidth="1"/>
    <col min="4" max="4" width="17.140625" style="52" bestFit="1" customWidth="1"/>
    <col min="5" max="6" width="2.7109375" customWidth="1"/>
    <col min="7" max="7" width="43" bestFit="1" customWidth="1"/>
    <col min="8" max="8" width="11.7109375" style="52" bestFit="1" customWidth="1"/>
    <col min="9" max="10" width="2.7109375" customWidth="1"/>
    <col min="11" max="11" width="43" bestFit="1" customWidth="1"/>
    <col min="12" max="12" width="16.42578125" style="52" bestFit="1" customWidth="1"/>
    <col min="13" max="13" width="11" bestFit="1" customWidth="1"/>
  </cols>
  <sheetData>
    <row r="1" spans="2:12" ht="30" customHeight="1">
      <c r="B1" s="198" t="str">
        <f>'ORDENES '!L1</f>
        <v>11-17 enero</v>
      </c>
      <c r="C1" s="198"/>
      <c r="D1" s="198"/>
      <c r="E1" s="198"/>
      <c r="F1" s="198"/>
      <c r="G1" s="198"/>
      <c r="H1" s="198"/>
      <c r="I1" s="198"/>
      <c r="J1" s="198"/>
      <c r="K1" s="198"/>
      <c r="L1" s="198"/>
    </row>
    <row r="2" spans="2:12" ht="29.25" customHeight="1">
      <c r="B2" s="197" t="s">
        <v>109</v>
      </c>
      <c r="C2" s="197"/>
      <c r="D2" s="197"/>
      <c r="F2" s="197" t="s">
        <v>94</v>
      </c>
      <c r="G2" s="197"/>
      <c r="H2" s="197"/>
      <c r="J2" s="197" t="s">
        <v>95</v>
      </c>
      <c r="K2" s="197"/>
      <c r="L2" s="197"/>
    </row>
    <row r="3" spans="2:12" ht="27.75" customHeight="1">
      <c r="B3" s="121" t="s">
        <v>0</v>
      </c>
      <c r="C3" s="128" t="s">
        <v>64</v>
      </c>
      <c r="D3" s="128" t="s">
        <v>65</v>
      </c>
      <c r="E3" s="102"/>
      <c r="F3" s="121" t="s">
        <v>0</v>
      </c>
      <c r="G3" s="128" t="s">
        <v>64</v>
      </c>
      <c r="H3" s="128" t="s">
        <v>65</v>
      </c>
      <c r="I3" s="101"/>
      <c r="J3" s="121" t="s">
        <v>0</v>
      </c>
      <c r="K3" s="128" t="s">
        <v>64</v>
      </c>
      <c r="L3" s="128" t="s">
        <v>65</v>
      </c>
    </row>
    <row r="4" spans="2:12">
      <c r="B4" s="119">
        <v>7</v>
      </c>
      <c r="C4" s="119" t="s">
        <v>55</v>
      </c>
      <c r="D4" s="119">
        <v>11.48</v>
      </c>
      <c r="F4" s="119">
        <v>7</v>
      </c>
      <c r="G4" s="119" t="s">
        <v>55</v>
      </c>
      <c r="H4" s="119">
        <v>7</v>
      </c>
      <c r="J4" s="119">
        <v>7</v>
      </c>
      <c r="K4" s="119" t="s">
        <v>55</v>
      </c>
      <c r="L4" s="119">
        <v>8.15</v>
      </c>
    </row>
    <row r="5" spans="2:12">
      <c r="B5" s="119">
        <v>8</v>
      </c>
      <c r="C5" s="119" t="s">
        <v>74</v>
      </c>
      <c r="D5" s="119">
        <v>0.96</v>
      </c>
      <c r="F5" s="119">
        <v>8</v>
      </c>
      <c r="G5" s="119" t="s">
        <v>74</v>
      </c>
      <c r="H5" s="119">
        <v>1</v>
      </c>
      <c r="J5" s="119">
        <v>8</v>
      </c>
      <c r="K5" s="119" t="s">
        <v>74</v>
      </c>
      <c r="L5" s="119">
        <v>1.35</v>
      </c>
    </row>
    <row r="6" spans="2:12">
      <c r="B6" s="119">
        <v>10</v>
      </c>
      <c r="C6" s="119" t="s">
        <v>139</v>
      </c>
      <c r="D6" s="119">
        <v>19.8</v>
      </c>
      <c r="F6" s="119">
        <v>10</v>
      </c>
      <c r="G6" s="119" t="s">
        <v>139</v>
      </c>
      <c r="H6" s="119">
        <v>15</v>
      </c>
      <c r="J6" s="119">
        <v>10</v>
      </c>
      <c r="K6" s="119" t="s">
        <v>139</v>
      </c>
      <c r="L6" s="119">
        <v>12.45</v>
      </c>
    </row>
    <row r="7" spans="2:12">
      <c r="B7" s="119">
        <v>15</v>
      </c>
      <c r="C7" s="119" t="s">
        <v>48</v>
      </c>
      <c r="D7" s="119">
        <v>10.8</v>
      </c>
      <c r="F7" s="31">
        <v>16</v>
      </c>
      <c r="G7" s="119" t="s">
        <v>59</v>
      </c>
      <c r="H7" s="119">
        <v>17</v>
      </c>
      <c r="J7" s="31">
        <v>16</v>
      </c>
      <c r="K7" s="119" t="s">
        <v>59</v>
      </c>
      <c r="L7" s="119">
        <v>9</v>
      </c>
    </row>
    <row r="8" spans="2:12">
      <c r="B8" s="31">
        <v>16</v>
      </c>
      <c r="C8" s="119" t="s">
        <v>59</v>
      </c>
      <c r="D8" s="119">
        <v>13.2</v>
      </c>
      <c r="F8" s="31">
        <v>17</v>
      </c>
      <c r="G8" s="119" t="s">
        <v>60</v>
      </c>
      <c r="H8" s="119">
        <v>10</v>
      </c>
      <c r="J8" s="31">
        <v>17</v>
      </c>
      <c r="K8" s="119" t="s">
        <v>60</v>
      </c>
      <c r="L8" s="119">
        <v>5.85</v>
      </c>
    </row>
    <row r="9" spans="2:12">
      <c r="B9" s="31">
        <v>17</v>
      </c>
      <c r="C9" s="119" t="s">
        <v>60</v>
      </c>
      <c r="D9" s="119">
        <v>8.1</v>
      </c>
      <c r="F9" s="119">
        <v>18</v>
      </c>
      <c r="G9" s="119" t="s">
        <v>49</v>
      </c>
      <c r="H9" s="119">
        <v>17</v>
      </c>
      <c r="J9" s="119">
        <v>18</v>
      </c>
      <c r="K9" s="119" t="s">
        <v>49</v>
      </c>
      <c r="L9" s="119">
        <v>14</v>
      </c>
    </row>
    <row r="10" spans="2:12">
      <c r="B10" s="119">
        <v>18</v>
      </c>
      <c r="C10" s="119" t="s">
        <v>49</v>
      </c>
      <c r="D10" s="119">
        <v>10.29</v>
      </c>
      <c r="F10" s="119">
        <v>20</v>
      </c>
      <c r="G10" s="119" t="s">
        <v>51</v>
      </c>
      <c r="H10" s="119">
        <v>8</v>
      </c>
      <c r="J10" s="31">
        <v>19</v>
      </c>
      <c r="K10" s="119" t="s">
        <v>50</v>
      </c>
      <c r="L10" s="119">
        <v>3.6</v>
      </c>
    </row>
    <row r="11" spans="2:12">
      <c r="B11" s="119">
        <v>20</v>
      </c>
      <c r="C11" s="119" t="s">
        <v>51</v>
      </c>
      <c r="D11" s="119">
        <v>0.66</v>
      </c>
      <c r="F11" s="31">
        <v>24</v>
      </c>
      <c r="G11" s="119" t="s">
        <v>62</v>
      </c>
      <c r="H11" s="119">
        <v>2</v>
      </c>
      <c r="J11" s="119">
        <v>20</v>
      </c>
      <c r="K11" s="119" t="s">
        <v>51</v>
      </c>
      <c r="L11" s="119">
        <v>0.9</v>
      </c>
    </row>
    <row r="12" spans="2:12">
      <c r="B12" s="119">
        <v>21</v>
      </c>
      <c r="C12" s="119" t="s">
        <v>52</v>
      </c>
      <c r="D12" s="119">
        <v>1.88</v>
      </c>
      <c r="F12" s="31" t="s">
        <v>76</v>
      </c>
      <c r="G12" s="31"/>
      <c r="H12" s="31"/>
      <c r="J12" s="119">
        <v>21</v>
      </c>
      <c r="K12" s="119" t="s">
        <v>52</v>
      </c>
      <c r="L12" s="119">
        <v>0.9</v>
      </c>
    </row>
    <row r="13" spans="2:12">
      <c r="B13" s="31">
        <v>24</v>
      </c>
      <c r="C13" s="119" t="s">
        <v>62</v>
      </c>
      <c r="D13" s="119">
        <v>1.72</v>
      </c>
      <c r="H13"/>
      <c r="J13" s="31">
        <v>24</v>
      </c>
      <c r="K13" s="119" t="s">
        <v>62</v>
      </c>
      <c r="L13" s="119">
        <v>0.9</v>
      </c>
    </row>
    <row r="14" spans="2:12">
      <c r="B14" s="31" t="s">
        <v>76</v>
      </c>
      <c r="C14" s="31"/>
      <c r="D14" s="31"/>
      <c r="H14"/>
      <c r="J14" s="31" t="s">
        <v>76</v>
      </c>
      <c r="K14" s="31"/>
      <c r="L14" s="31"/>
    </row>
    <row r="15" spans="2:12">
      <c r="B15"/>
      <c r="D15"/>
      <c r="H15"/>
      <c r="L15"/>
    </row>
    <row r="16" spans="2:12">
      <c r="B16"/>
      <c r="D16"/>
      <c r="H16"/>
      <c r="L16"/>
    </row>
    <row r="17" spans="2:12">
      <c r="B17"/>
      <c r="D17"/>
    </row>
    <row r="18" spans="2:12">
      <c r="B18"/>
      <c r="D18"/>
    </row>
    <row r="19" spans="2:12">
      <c r="B19"/>
      <c r="D19"/>
    </row>
    <row r="20" spans="2:12">
      <c r="B20"/>
      <c r="D20"/>
    </row>
    <row r="21" spans="2:12">
      <c r="B21"/>
      <c r="D21"/>
    </row>
    <row r="22" spans="2:12">
      <c r="B22"/>
      <c r="D22"/>
    </row>
    <row r="23" spans="2:12">
      <c r="B23"/>
      <c r="D23"/>
    </row>
    <row r="24" spans="2:12">
      <c r="B24"/>
      <c r="D24"/>
    </row>
    <row r="25" spans="2:12">
      <c r="B25"/>
      <c r="D25"/>
      <c r="I25" s="96"/>
      <c r="J25" s="96"/>
    </row>
    <row r="26" spans="2:12">
      <c r="B26"/>
      <c r="D26"/>
    </row>
    <row r="27" spans="2:12">
      <c r="B27"/>
      <c r="D27"/>
    </row>
    <row r="28" spans="2:12">
      <c r="B28"/>
      <c r="D28"/>
    </row>
    <row r="30" spans="2:12" ht="30">
      <c r="B30" s="197" t="s">
        <v>93</v>
      </c>
      <c r="C30" s="197"/>
      <c r="D30" s="197"/>
      <c r="F30" s="197" t="s">
        <v>94</v>
      </c>
      <c r="G30" s="197"/>
      <c r="H30" s="197"/>
      <c r="J30" s="197" t="s">
        <v>95</v>
      </c>
      <c r="K30" s="197"/>
      <c r="L30" s="197"/>
    </row>
    <row r="31" spans="2:12" ht="18.75">
      <c r="B31" s="121" t="s">
        <v>0</v>
      </c>
      <c r="C31" s="128" t="s">
        <v>64</v>
      </c>
      <c r="D31" s="121" t="s">
        <v>66</v>
      </c>
      <c r="E31" s="101"/>
      <c r="F31" s="121" t="s">
        <v>0</v>
      </c>
      <c r="G31" s="128" t="s">
        <v>64</v>
      </c>
      <c r="H31" s="121" t="s">
        <v>66</v>
      </c>
      <c r="I31" s="101"/>
      <c r="J31" s="121" t="s">
        <v>0</v>
      </c>
      <c r="K31" s="128" t="s">
        <v>64</v>
      </c>
      <c r="L31" s="121" t="s">
        <v>66</v>
      </c>
    </row>
    <row r="32" spans="2:12">
      <c r="B32" s="119">
        <v>7</v>
      </c>
      <c r="C32" s="119" t="s">
        <v>55</v>
      </c>
      <c r="D32" s="119">
        <v>20.079999999999998</v>
      </c>
      <c r="F32" s="119">
        <v>7</v>
      </c>
      <c r="G32" s="119" t="s">
        <v>55</v>
      </c>
      <c r="H32" s="119">
        <v>16</v>
      </c>
      <c r="J32" s="119">
        <v>7</v>
      </c>
      <c r="K32" s="119" t="s">
        <v>55</v>
      </c>
      <c r="L32" s="119">
        <v>17.5</v>
      </c>
    </row>
    <row r="33" spans="2:12">
      <c r="B33" s="119">
        <v>8</v>
      </c>
      <c r="C33" s="119" t="s">
        <v>74</v>
      </c>
      <c r="D33" s="119">
        <v>3.6</v>
      </c>
      <c r="F33" s="119">
        <v>8</v>
      </c>
      <c r="G33" s="119" t="s">
        <v>74</v>
      </c>
      <c r="H33" s="119">
        <v>3.5</v>
      </c>
      <c r="J33" s="119">
        <v>8</v>
      </c>
      <c r="K33" s="119" t="s">
        <v>74</v>
      </c>
      <c r="L33" s="119">
        <v>2.7</v>
      </c>
    </row>
    <row r="34" spans="2:12">
      <c r="B34" s="119">
        <v>10</v>
      </c>
      <c r="C34" s="119" t="s">
        <v>139</v>
      </c>
      <c r="D34" s="119">
        <v>21.15</v>
      </c>
      <c r="F34" s="119">
        <v>10</v>
      </c>
      <c r="G34" s="119" t="s">
        <v>139</v>
      </c>
      <c r="H34" s="119">
        <v>25</v>
      </c>
      <c r="J34" s="119">
        <v>10</v>
      </c>
      <c r="K34" s="119" t="s">
        <v>139</v>
      </c>
      <c r="L34" s="119">
        <v>15.75</v>
      </c>
    </row>
    <row r="35" spans="2:12">
      <c r="B35" s="119">
        <v>12</v>
      </c>
      <c r="C35" s="119" t="s">
        <v>44</v>
      </c>
      <c r="D35" s="119">
        <v>12</v>
      </c>
      <c r="F35" s="119">
        <v>12</v>
      </c>
      <c r="G35" s="119" t="s">
        <v>44</v>
      </c>
      <c r="H35" s="119">
        <v>13</v>
      </c>
      <c r="J35" s="119">
        <v>12</v>
      </c>
      <c r="K35" s="119" t="s">
        <v>44</v>
      </c>
      <c r="L35" s="119">
        <v>9.6</v>
      </c>
    </row>
    <row r="36" spans="2:12">
      <c r="B36" s="31">
        <v>17</v>
      </c>
      <c r="C36" s="119" t="s">
        <v>60</v>
      </c>
      <c r="D36" s="119">
        <v>1.1399999999999999</v>
      </c>
      <c r="F36" s="31">
        <v>17</v>
      </c>
      <c r="G36" s="119" t="s">
        <v>60</v>
      </c>
      <c r="H36" s="119">
        <v>1</v>
      </c>
      <c r="J36" s="31">
        <v>17</v>
      </c>
      <c r="K36" s="119" t="s">
        <v>60</v>
      </c>
      <c r="L36" s="119">
        <v>0.97</v>
      </c>
    </row>
    <row r="37" spans="2:12">
      <c r="B37" s="119">
        <v>18</v>
      </c>
      <c r="C37" s="119" t="s">
        <v>49</v>
      </c>
      <c r="D37" s="119">
        <v>0.76</v>
      </c>
      <c r="F37" s="119">
        <v>20</v>
      </c>
      <c r="G37" s="119" t="s">
        <v>51</v>
      </c>
      <c r="H37" s="119">
        <v>7</v>
      </c>
      <c r="J37" s="119">
        <v>18</v>
      </c>
      <c r="K37" s="119" t="s">
        <v>49</v>
      </c>
      <c r="L37" s="119">
        <v>1</v>
      </c>
    </row>
    <row r="38" spans="2:12">
      <c r="B38" s="31" t="s">
        <v>76</v>
      </c>
      <c r="C38" s="31"/>
      <c r="D38" s="31"/>
      <c r="F38" s="31" t="s">
        <v>76</v>
      </c>
      <c r="G38" s="31"/>
      <c r="H38" s="31"/>
      <c r="J38" s="31">
        <v>19</v>
      </c>
      <c r="K38" s="119" t="s">
        <v>50</v>
      </c>
      <c r="L38" s="119">
        <v>3.9</v>
      </c>
    </row>
    <row r="39" spans="2:12">
      <c r="B39"/>
      <c r="D39"/>
      <c r="H39"/>
      <c r="J39" s="31" t="s">
        <v>76</v>
      </c>
      <c r="K39" s="31"/>
      <c r="L39" s="31"/>
    </row>
    <row r="40" spans="2:12">
      <c r="B40"/>
      <c r="D40"/>
      <c r="H40"/>
      <c r="L40"/>
    </row>
    <row r="41" spans="2:12">
      <c r="B41"/>
      <c r="D41"/>
      <c r="H41"/>
      <c r="L41"/>
    </row>
    <row r="42" spans="2:12">
      <c r="B42"/>
      <c r="D42"/>
      <c r="H42"/>
      <c r="L42"/>
    </row>
    <row r="43" spans="2:12">
      <c r="B43"/>
      <c r="D43"/>
      <c r="H43"/>
      <c r="L43"/>
    </row>
    <row r="44" spans="2:12">
      <c r="B44"/>
      <c r="D44"/>
      <c r="H44"/>
      <c r="L44"/>
    </row>
    <row r="45" spans="2:12">
      <c r="B45"/>
    </row>
    <row r="46" spans="2:12">
      <c r="B46"/>
    </row>
    <row r="47" spans="2:12">
      <c r="B47"/>
    </row>
    <row r="48" spans="2:12">
      <c r="B48"/>
    </row>
    <row r="49" spans="2:12">
      <c r="B49"/>
    </row>
    <row r="50" spans="2:12">
      <c r="B50"/>
    </row>
    <row r="51" spans="2:12">
      <c r="B51"/>
    </row>
    <row r="52" spans="2:12">
      <c r="B52"/>
    </row>
    <row r="53" spans="2:12">
      <c r="B53"/>
    </row>
    <row r="54" spans="2:12">
      <c r="B54"/>
    </row>
    <row r="55" spans="2:12">
      <c r="B55"/>
    </row>
    <row r="56" spans="2:12">
      <c r="B56"/>
    </row>
    <row r="58" spans="2:12" ht="30">
      <c r="B58" s="197" t="s">
        <v>93</v>
      </c>
      <c r="C58" s="197"/>
      <c r="D58" s="197"/>
      <c r="F58" s="197" t="s">
        <v>94</v>
      </c>
      <c r="G58" s="197"/>
      <c r="H58" s="197"/>
      <c r="J58" s="197" t="s">
        <v>95</v>
      </c>
      <c r="K58" s="197"/>
      <c r="L58" s="197"/>
    </row>
    <row r="59" spans="2:12" ht="18.75">
      <c r="B59" s="121" t="s">
        <v>0</v>
      </c>
      <c r="C59" s="128" t="s">
        <v>64</v>
      </c>
      <c r="D59" s="121" t="s">
        <v>67</v>
      </c>
      <c r="E59" s="101"/>
      <c r="F59" s="121" t="s">
        <v>0</v>
      </c>
      <c r="G59" s="128" t="s">
        <v>64</v>
      </c>
      <c r="H59" s="121" t="s">
        <v>67</v>
      </c>
      <c r="I59" s="101"/>
      <c r="J59" s="121" t="s">
        <v>0</v>
      </c>
      <c r="K59" s="128" t="s">
        <v>64</v>
      </c>
      <c r="L59" s="121" t="s">
        <v>67</v>
      </c>
    </row>
    <row r="60" spans="2:12">
      <c r="B60" s="31">
        <v>3</v>
      </c>
      <c r="C60" s="119" t="s">
        <v>56</v>
      </c>
      <c r="D60" s="119">
        <v>14.4</v>
      </c>
      <c r="F60" s="31">
        <v>3</v>
      </c>
      <c r="G60" s="119" t="s">
        <v>56</v>
      </c>
      <c r="H60" s="119">
        <v>17</v>
      </c>
      <c r="J60" s="31">
        <v>3</v>
      </c>
      <c r="K60" s="119" t="s">
        <v>56</v>
      </c>
      <c r="L60" s="119">
        <v>9</v>
      </c>
    </row>
    <row r="61" spans="2:12">
      <c r="B61" s="119">
        <v>7</v>
      </c>
      <c r="C61" s="119" t="s">
        <v>55</v>
      </c>
      <c r="D61" s="119">
        <v>0.72</v>
      </c>
      <c r="F61" s="119">
        <v>7</v>
      </c>
      <c r="G61" s="119" t="s">
        <v>55</v>
      </c>
      <c r="H61" s="119">
        <v>1.5</v>
      </c>
      <c r="J61" s="119">
        <v>7</v>
      </c>
      <c r="K61" s="119" t="s">
        <v>55</v>
      </c>
      <c r="L61" s="119">
        <v>1.1000000000000001</v>
      </c>
    </row>
    <row r="62" spans="2:12">
      <c r="B62" s="119">
        <v>8</v>
      </c>
      <c r="C62" s="119" t="s">
        <v>74</v>
      </c>
      <c r="D62" s="119">
        <v>17.399999999999999</v>
      </c>
      <c r="F62" s="119">
        <v>8</v>
      </c>
      <c r="G62" s="119" t="s">
        <v>74</v>
      </c>
      <c r="H62" s="119">
        <v>9</v>
      </c>
      <c r="J62" s="119">
        <v>8</v>
      </c>
      <c r="K62" s="119" t="s">
        <v>74</v>
      </c>
      <c r="L62" s="119">
        <v>9.27</v>
      </c>
    </row>
    <row r="63" spans="2:12">
      <c r="B63" s="119">
        <v>12</v>
      </c>
      <c r="C63" s="119" t="s">
        <v>44</v>
      </c>
      <c r="D63" s="119">
        <v>10</v>
      </c>
      <c r="F63" s="119">
        <v>12</v>
      </c>
      <c r="G63" s="119" t="s">
        <v>44</v>
      </c>
      <c r="H63" s="119">
        <v>8</v>
      </c>
      <c r="J63" s="119">
        <v>12</v>
      </c>
      <c r="K63" s="119" t="s">
        <v>44</v>
      </c>
      <c r="L63" s="119">
        <v>6</v>
      </c>
    </row>
    <row r="64" spans="2:12">
      <c r="B64" s="31">
        <v>17</v>
      </c>
      <c r="C64" s="119" t="s">
        <v>60</v>
      </c>
      <c r="D64" s="119">
        <v>11.22</v>
      </c>
      <c r="F64" s="31">
        <v>17</v>
      </c>
      <c r="G64" s="119" t="s">
        <v>60</v>
      </c>
      <c r="H64" s="119">
        <v>7.5</v>
      </c>
      <c r="J64" s="31">
        <v>17</v>
      </c>
      <c r="K64" s="119" t="s">
        <v>60</v>
      </c>
      <c r="L64" s="119">
        <v>7.5</v>
      </c>
    </row>
    <row r="65" spans="2:12">
      <c r="B65" s="119">
        <v>18</v>
      </c>
      <c r="C65" s="119" t="s">
        <v>49</v>
      </c>
      <c r="D65" s="119">
        <v>21.5</v>
      </c>
      <c r="F65" s="119">
        <v>18</v>
      </c>
      <c r="G65" s="119" t="s">
        <v>49</v>
      </c>
      <c r="H65" s="119">
        <v>20</v>
      </c>
      <c r="J65" s="119">
        <v>18</v>
      </c>
      <c r="K65" s="119" t="s">
        <v>49</v>
      </c>
      <c r="L65" s="119">
        <v>17</v>
      </c>
    </row>
    <row r="66" spans="2:12">
      <c r="B66" s="119">
        <v>23</v>
      </c>
      <c r="C66" s="119" t="s">
        <v>61</v>
      </c>
      <c r="D66" s="119">
        <v>3</v>
      </c>
      <c r="F66" s="119">
        <v>20</v>
      </c>
      <c r="G66" s="119" t="s">
        <v>51</v>
      </c>
      <c r="H66" s="119">
        <v>0.5</v>
      </c>
      <c r="J66" s="119">
        <v>20</v>
      </c>
      <c r="K66" s="119" t="s">
        <v>51</v>
      </c>
      <c r="L66" s="119">
        <v>0.21</v>
      </c>
    </row>
    <row r="67" spans="2:12">
      <c r="B67" s="31">
        <v>24</v>
      </c>
      <c r="C67" s="119" t="s">
        <v>62</v>
      </c>
      <c r="D67" s="119">
        <v>6</v>
      </c>
      <c r="F67" s="119">
        <v>23</v>
      </c>
      <c r="G67" s="119" t="s">
        <v>61</v>
      </c>
      <c r="H67" s="119">
        <v>2.5</v>
      </c>
      <c r="J67" s="119">
        <v>23</v>
      </c>
      <c r="K67" s="119" t="s">
        <v>61</v>
      </c>
      <c r="L67" s="119">
        <v>1.8</v>
      </c>
    </row>
    <row r="68" spans="2:12">
      <c r="B68" s="31" t="s">
        <v>76</v>
      </c>
      <c r="C68" s="31"/>
      <c r="D68" s="31"/>
      <c r="F68" s="31">
        <v>24</v>
      </c>
      <c r="G68" s="119" t="s">
        <v>62</v>
      </c>
      <c r="H68" s="119">
        <v>7</v>
      </c>
      <c r="J68" s="31">
        <v>24</v>
      </c>
      <c r="K68" s="119" t="s">
        <v>62</v>
      </c>
      <c r="L68" s="119">
        <v>4.2</v>
      </c>
    </row>
    <row r="69" spans="2:12">
      <c r="B69"/>
      <c r="D69"/>
      <c r="F69" s="31" t="s">
        <v>76</v>
      </c>
      <c r="G69" s="31"/>
      <c r="H69" s="31"/>
      <c r="J69" s="31" t="s">
        <v>76</v>
      </c>
      <c r="K69" s="31"/>
      <c r="L69" s="31"/>
    </row>
    <row r="70" spans="2:12">
      <c r="B70"/>
      <c r="D70"/>
      <c r="H70"/>
      <c r="L70"/>
    </row>
    <row r="71" spans="2:12">
      <c r="B71"/>
      <c r="D71"/>
      <c r="H71"/>
      <c r="L71"/>
    </row>
    <row r="72" spans="2:12">
      <c r="B72"/>
      <c r="D72"/>
      <c r="H72"/>
      <c r="L72" t="s">
        <v>108</v>
      </c>
    </row>
    <row r="73" spans="2:12">
      <c r="B73"/>
      <c r="D73"/>
    </row>
    <row r="74" spans="2:12">
      <c r="B74"/>
      <c r="D74"/>
    </row>
    <row r="75" spans="2:12">
      <c r="B75"/>
      <c r="D75"/>
    </row>
    <row r="76" spans="2:12">
      <c r="B76"/>
      <c r="D76"/>
    </row>
    <row r="77" spans="2:12">
      <c r="B77"/>
      <c r="D77"/>
    </row>
    <row r="78" spans="2:12">
      <c r="B78"/>
      <c r="D78"/>
    </row>
    <row r="79" spans="2:12">
      <c r="B79"/>
      <c r="D79"/>
    </row>
    <row r="80" spans="2:12">
      <c r="B80"/>
      <c r="D80"/>
    </row>
    <row r="81" spans="2:12">
      <c r="B81"/>
      <c r="D81"/>
    </row>
    <row r="82" spans="2:12">
      <c r="B82"/>
      <c r="D82"/>
    </row>
    <row r="83" spans="2:12">
      <c r="B83"/>
      <c r="D83"/>
    </row>
    <row r="84" spans="2:12">
      <c r="B84"/>
      <c r="D84"/>
    </row>
    <row r="86" spans="2:12" ht="30">
      <c r="B86" s="197" t="s">
        <v>93</v>
      </c>
      <c r="C86" s="197"/>
      <c r="D86" s="197"/>
      <c r="F86" s="197" t="s">
        <v>94</v>
      </c>
      <c r="G86" s="197"/>
      <c r="H86" s="197"/>
      <c r="J86" s="197" t="s">
        <v>95</v>
      </c>
      <c r="K86" s="197"/>
      <c r="L86" s="197"/>
    </row>
    <row r="87" spans="2:12" ht="18.75">
      <c r="B87" s="121" t="s">
        <v>0</v>
      </c>
      <c r="C87" s="128" t="s">
        <v>64</v>
      </c>
      <c r="D87" s="121" t="s">
        <v>68</v>
      </c>
      <c r="E87" s="101"/>
      <c r="F87" s="121" t="s">
        <v>0</v>
      </c>
      <c r="G87" s="128" t="s">
        <v>64</v>
      </c>
      <c r="H87" s="121" t="s">
        <v>68</v>
      </c>
      <c r="I87" s="101"/>
      <c r="J87" s="121" t="s">
        <v>0</v>
      </c>
      <c r="K87" s="128" t="s">
        <v>64</v>
      </c>
      <c r="L87" s="121" t="s">
        <v>68</v>
      </c>
    </row>
    <row r="88" spans="2:12">
      <c r="B88" s="119">
        <v>2</v>
      </c>
      <c r="C88" s="119" t="s">
        <v>53</v>
      </c>
      <c r="D88" s="119">
        <v>12</v>
      </c>
      <c r="F88" s="119">
        <v>2</v>
      </c>
      <c r="G88" s="119" t="s">
        <v>53</v>
      </c>
      <c r="H88" s="119">
        <v>10</v>
      </c>
      <c r="J88" s="119">
        <v>2</v>
      </c>
      <c r="K88" s="119" t="s">
        <v>53</v>
      </c>
      <c r="L88" s="119">
        <v>7.2</v>
      </c>
    </row>
    <row r="89" spans="2:12">
      <c r="B89" s="119">
        <v>7</v>
      </c>
      <c r="C89" s="119" t="s">
        <v>55</v>
      </c>
      <c r="D89" s="119">
        <v>13.23</v>
      </c>
      <c r="F89" s="119">
        <v>7</v>
      </c>
      <c r="G89" s="119" t="s">
        <v>55</v>
      </c>
      <c r="H89" s="119">
        <v>13</v>
      </c>
      <c r="J89" s="119">
        <v>7</v>
      </c>
      <c r="K89" s="119" t="s">
        <v>55</v>
      </c>
      <c r="L89" s="119">
        <v>12.3</v>
      </c>
    </row>
    <row r="90" spans="2:12">
      <c r="B90" s="119">
        <v>8</v>
      </c>
      <c r="C90" s="119" t="s">
        <v>74</v>
      </c>
      <c r="D90" s="119">
        <v>0.96</v>
      </c>
      <c r="F90" s="119">
        <v>8</v>
      </c>
      <c r="G90" s="119" t="s">
        <v>74</v>
      </c>
      <c r="H90" s="119">
        <v>1</v>
      </c>
      <c r="J90" s="119">
        <v>8</v>
      </c>
      <c r="K90" s="119" t="s">
        <v>74</v>
      </c>
      <c r="L90" s="119">
        <v>1.35</v>
      </c>
    </row>
    <row r="91" spans="2:12">
      <c r="B91" s="119">
        <v>10</v>
      </c>
      <c r="C91" s="119" t="s">
        <v>139</v>
      </c>
      <c r="D91" s="119">
        <v>18</v>
      </c>
      <c r="F91" s="119">
        <v>10</v>
      </c>
      <c r="G91" s="119" t="s">
        <v>139</v>
      </c>
      <c r="H91" s="119">
        <v>21</v>
      </c>
      <c r="J91" s="119">
        <v>10</v>
      </c>
      <c r="K91" s="119" t="s">
        <v>139</v>
      </c>
      <c r="L91" s="119">
        <v>9.75</v>
      </c>
    </row>
    <row r="92" spans="2:12">
      <c r="B92" s="119">
        <v>12</v>
      </c>
      <c r="C92" s="119" t="s">
        <v>44</v>
      </c>
      <c r="D92" s="119">
        <v>22.42</v>
      </c>
      <c r="F92" s="119">
        <v>12</v>
      </c>
      <c r="G92" s="119" t="s">
        <v>44</v>
      </c>
      <c r="H92" s="119">
        <v>21</v>
      </c>
      <c r="J92" s="119">
        <v>12</v>
      </c>
      <c r="K92" s="119" t="s">
        <v>44</v>
      </c>
      <c r="L92" s="119">
        <v>14.7</v>
      </c>
    </row>
    <row r="93" spans="2:12">
      <c r="B93" s="31">
        <v>17</v>
      </c>
      <c r="C93" s="119" t="s">
        <v>60</v>
      </c>
      <c r="D93" s="119">
        <v>1.86</v>
      </c>
      <c r="F93" s="31">
        <v>17</v>
      </c>
      <c r="G93" s="119" t="s">
        <v>60</v>
      </c>
      <c r="H93" s="119">
        <v>1.5</v>
      </c>
      <c r="J93" s="31">
        <v>17</v>
      </c>
      <c r="K93" s="119" t="s">
        <v>60</v>
      </c>
      <c r="L93" s="119">
        <v>1.4</v>
      </c>
    </row>
    <row r="94" spans="2:12">
      <c r="B94" s="119">
        <v>18</v>
      </c>
      <c r="C94" s="119" t="s">
        <v>49</v>
      </c>
      <c r="D94" s="119">
        <v>2.5499999999999998</v>
      </c>
      <c r="F94" s="119">
        <v>18</v>
      </c>
      <c r="G94" s="119" t="s">
        <v>49</v>
      </c>
      <c r="H94" s="119">
        <v>4.5</v>
      </c>
      <c r="J94" s="119">
        <v>18</v>
      </c>
      <c r="K94" s="119" t="s">
        <v>49</v>
      </c>
      <c r="L94" s="119">
        <v>5</v>
      </c>
    </row>
    <row r="95" spans="2:12">
      <c r="B95" s="119">
        <v>20</v>
      </c>
      <c r="C95" s="119" t="s">
        <v>51</v>
      </c>
      <c r="D95" s="119">
        <v>7.56</v>
      </c>
      <c r="F95" s="119">
        <v>20</v>
      </c>
      <c r="G95" s="119" t="s">
        <v>51</v>
      </c>
      <c r="H95" s="119">
        <v>5</v>
      </c>
      <c r="J95" s="119">
        <v>20</v>
      </c>
      <c r="K95" s="119" t="s">
        <v>51</v>
      </c>
      <c r="L95" s="119">
        <v>3.6</v>
      </c>
    </row>
    <row r="96" spans="2:12">
      <c r="B96" s="31" t="s">
        <v>76</v>
      </c>
      <c r="C96" s="31"/>
      <c r="D96" s="31"/>
      <c r="F96" s="31" t="s">
        <v>76</v>
      </c>
      <c r="G96" s="31"/>
      <c r="H96" s="31"/>
      <c r="J96" s="31" t="s">
        <v>76</v>
      </c>
      <c r="K96" s="31"/>
      <c r="L96" s="31"/>
    </row>
    <row r="97" spans="2:12">
      <c r="B97"/>
      <c r="D97"/>
      <c r="H97"/>
      <c r="L97"/>
    </row>
    <row r="98" spans="2:12">
      <c r="B98"/>
      <c r="D98"/>
      <c r="H98"/>
      <c r="L98"/>
    </row>
    <row r="99" spans="2:12">
      <c r="B99"/>
      <c r="D99"/>
      <c r="H99"/>
      <c r="L99"/>
    </row>
    <row r="100" spans="2:12">
      <c r="B100"/>
      <c r="D100"/>
      <c r="H100"/>
      <c r="L100"/>
    </row>
    <row r="101" spans="2:12">
      <c r="B101"/>
    </row>
    <row r="102" spans="2:12">
      <c r="B102"/>
    </row>
    <row r="103" spans="2:12">
      <c r="B103"/>
    </row>
    <row r="104" spans="2:12">
      <c r="B104"/>
    </row>
    <row r="105" spans="2:12">
      <c r="B105"/>
    </row>
    <row r="106" spans="2:12">
      <c r="B106"/>
    </row>
    <row r="107" spans="2:12">
      <c r="B107"/>
    </row>
    <row r="108" spans="2:12">
      <c r="B108"/>
    </row>
    <row r="109" spans="2:12">
      <c r="B109"/>
    </row>
    <row r="110" spans="2:12">
      <c r="B110"/>
    </row>
    <row r="111" spans="2:12">
      <c r="B111"/>
    </row>
    <row r="112" spans="2:12">
      <c r="B112"/>
    </row>
    <row r="114" spans="2:12" ht="30">
      <c r="B114" s="197" t="s">
        <v>93</v>
      </c>
      <c r="C114" s="197"/>
      <c r="D114" s="197"/>
      <c r="F114" s="197" t="s">
        <v>94</v>
      </c>
      <c r="G114" s="197"/>
      <c r="H114" s="197"/>
      <c r="J114" s="197" t="s">
        <v>95</v>
      </c>
      <c r="K114" s="197"/>
      <c r="L114" s="197"/>
    </row>
    <row r="115" spans="2:12" ht="18.75">
      <c r="B115" s="121" t="s">
        <v>0</v>
      </c>
      <c r="C115" s="128" t="s">
        <v>64</v>
      </c>
      <c r="D115" s="121" t="s">
        <v>69</v>
      </c>
      <c r="E115" s="101"/>
      <c r="F115" s="121" t="s">
        <v>0</v>
      </c>
      <c r="G115" s="128" t="s">
        <v>64</v>
      </c>
      <c r="H115" s="120" t="s">
        <v>102</v>
      </c>
      <c r="I115" s="101"/>
      <c r="J115" s="121" t="s">
        <v>0</v>
      </c>
      <c r="K115" s="128" t="s">
        <v>64</v>
      </c>
      <c r="L115" s="121" t="s">
        <v>69</v>
      </c>
    </row>
    <row r="116" spans="2:12">
      <c r="B116" s="31">
        <v>3</v>
      </c>
      <c r="C116" s="119" t="s">
        <v>56</v>
      </c>
      <c r="D116" s="119">
        <v>14.4</v>
      </c>
      <c r="F116" s="119">
        <v>2</v>
      </c>
      <c r="G116" s="119" t="s">
        <v>53</v>
      </c>
      <c r="H116" s="119">
        <v>17</v>
      </c>
      <c r="J116" s="119">
        <v>2</v>
      </c>
      <c r="K116" s="119" t="s">
        <v>53</v>
      </c>
      <c r="L116" s="119">
        <v>7.8</v>
      </c>
    </row>
    <row r="117" spans="2:12">
      <c r="B117" s="119">
        <v>7</v>
      </c>
      <c r="C117" s="119" t="s">
        <v>55</v>
      </c>
      <c r="D117" s="119">
        <v>25.35</v>
      </c>
      <c r="F117" s="119">
        <v>7</v>
      </c>
      <c r="G117" s="119" t="s">
        <v>55</v>
      </c>
      <c r="H117" s="119">
        <v>22</v>
      </c>
      <c r="J117" s="119">
        <v>7</v>
      </c>
      <c r="K117" s="119" t="s">
        <v>55</v>
      </c>
      <c r="L117" s="119">
        <v>19.100000000000001</v>
      </c>
    </row>
    <row r="118" spans="2:12">
      <c r="B118" s="119">
        <v>12</v>
      </c>
      <c r="C118" s="119" t="s">
        <v>44</v>
      </c>
      <c r="D118" s="119">
        <v>0.93</v>
      </c>
      <c r="F118" s="119">
        <v>12</v>
      </c>
      <c r="G118" s="119" t="s">
        <v>44</v>
      </c>
      <c r="H118" s="119">
        <v>11</v>
      </c>
      <c r="J118" s="119">
        <v>12</v>
      </c>
      <c r="K118" s="119" t="s">
        <v>44</v>
      </c>
      <c r="L118" s="119">
        <v>9</v>
      </c>
    </row>
    <row r="119" spans="2:12">
      <c r="B119" s="119">
        <v>15</v>
      </c>
      <c r="C119" s="119" t="s">
        <v>48</v>
      </c>
      <c r="D119" s="119">
        <v>12</v>
      </c>
      <c r="F119" s="31">
        <v>16</v>
      </c>
      <c r="G119" s="119" t="s">
        <v>59</v>
      </c>
      <c r="H119" s="119">
        <v>6</v>
      </c>
      <c r="J119" s="31">
        <v>16</v>
      </c>
      <c r="K119" s="119" t="s">
        <v>59</v>
      </c>
      <c r="L119" s="119">
        <v>5.4</v>
      </c>
    </row>
    <row r="120" spans="2:12">
      <c r="B120" s="31">
        <v>16</v>
      </c>
      <c r="C120" s="119" t="s">
        <v>59</v>
      </c>
      <c r="D120" s="119">
        <v>4.5</v>
      </c>
      <c r="F120" s="31">
        <v>17</v>
      </c>
      <c r="G120" s="119" t="s">
        <v>60</v>
      </c>
      <c r="H120" s="119">
        <v>1</v>
      </c>
      <c r="J120" s="31">
        <v>17</v>
      </c>
      <c r="K120" s="119" t="s">
        <v>60</v>
      </c>
      <c r="L120" s="119">
        <v>1.02</v>
      </c>
    </row>
    <row r="121" spans="2:12">
      <c r="B121" s="31">
        <v>17</v>
      </c>
      <c r="C121" s="119" t="s">
        <v>60</v>
      </c>
      <c r="D121" s="119">
        <v>1.08</v>
      </c>
      <c r="F121" s="119">
        <v>18</v>
      </c>
      <c r="G121" s="119" t="s">
        <v>49</v>
      </c>
      <c r="H121" s="119">
        <v>21</v>
      </c>
      <c r="J121" s="119">
        <v>18</v>
      </c>
      <c r="K121" s="119" t="s">
        <v>49</v>
      </c>
      <c r="L121" s="119">
        <v>16</v>
      </c>
    </row>
    <row r="122" spans="2:12">
      <c r="B122" s="119">
        <v>18</v>
      </c>
      <c r="C122" s="119" t="s">
        <v>49</v>
      </c>
      <c r="D122" s="119">
        <v>20.8</v>
      </c>
      <c r="F122" s="119">
        <v>20</v>
      </c>
      <c r="G122" s="119" t="s">
        <v>51</v>
      </c>
      <c r="H122" s="119">
        <v>2</v>
      </c>
      <c r="J122" s="119">
        <v>20</v>
      </c>
      <c r="K122" s="119" t="s">
        <v>51</v>
      </c>
      <c r="L122" s="119">
        <v>1.35</v>
      </c>
    </row>
    <row r="123" spans="2:12">
      <c r="B123" s="119">
        <v>20</v>
      </c>
      <c r="C123" s="119" t="s">
        <v>51</v>
      </c>
      <c r="D123" s="119">
        <v>2.58</v>
      </c>
      <c r="F123" s="119">
        <v>23</v>
      </c>
      <c r="G123" s="119" t="s">
        <v>61</v>
      </c>
      <c r="H123" s="119">
        <v>2.5</v>
      </c>
      <c r="I123">
        <v>3</v>
      </c>
      <c r="J123" s="119">
        <v>23</v>
      </c>
      <c r="K123" s="119" t="s">
        <v>61</v>
      </c>
      <c r="L123" s="119">
        <v>1.75</v>
      </c>
    </row>
    <row r="124" spans="2:12">
      <c r="B124" s="119">
        <v>23</v>
      </c>
      <c r="C124" s="119" t="s">
        <v>61</v>
      </c>
      <c r="D124" s="119">
        <v>2.5</v>
      </c>
      <c r="F124" s="31" t="s">
        <v>76</v>
      </c>
      <c r="G124" s="31"/>
      <c r="H124" s="31"/>
      <c r="J124" s="31" t="s">
        <v>76</v>
      </c>
      <c r="K124" s="31"/>
      <c r="L124" s="31"/>
    </row>
    <row r="125" spans="2:12">
      <c r="B125" s="31" t="s">
        <v>76</v>
      </c>
      <c r="C125" s="31"/>
      <c r="D125" s="31"/>
      <c r="H125"/>
      <c r="L125"/>
    </row>
    <row r="126" spans="2:12">
      <c r="B126"/>
      <c r="D126"/>
      <c r="H126"/>
      <c r="I126" t="s">
        <v>129</v>
      </c>
      <c r="L126"/>
    </row>
    <row r="127" spans="2:12">
      <c r="B127"/>
      <c r="D127"/>
      <c r="H127"/>
      <c r="L127"/>
    </row>
    <row r="128" spans="2:12">
      <c r="B128"/>
      <c r="D128"/>
      <c r="H128"/>
      <c r="L128"/>
    </row>
    <row r="129" spans="2:12">
      <c r="B129"/>
      <c r="H129"/>
      <c r="L129"/>
    </row>
    <row r="130" spans="2:12">
      <c r="B130"/>
      <c r="H130"/>
      <c r="L130"/>
    </row>
    <row r="131" spans="2:12">
      <c r="B131"/>
      <c r="H131"/>
      <c r="L131"/>
    </row>
    <row r="132" spans="2:12">
      <c r="B132"/>
      <c r="H132"/>
      <c r="L132"/>
    </row>
    <row r="133" spans="2:12">
      <c r="B133"/>
      <c r="H133"/>
      <c r="L133"/>
    </row>
    <row r="134" spans="2:12">
      <c r="B134"/>
      <c r="H134"/>
      <c r="L134"/>
    </row>
    <row r="135" spans="2:12">
      <c r="B135"/>
      <c r="H135"/>
      <c r="L135"/>
    </row>
    <row r="136" spans="2:12">
      <c r="B136"/>
      <c r="H136"/>
      <c r="L136"/>
    </row>
    <row r="137" spans="2:12">
      <c r="B137"/>
      <c r="H137"/>
      <c r="L137"/>
    </row>
    <row r="138" spans="2:12">
      <c r="B138"/>
      <c r="H138"/>
      <c r="L138"/>
    </row>
    <row r="139" spans="2:12">
      <c r="B139"/>
      <c r="H139"/>
      <c r="L139"/>
    </row>
    <row r="140" spans="2:12">
      <c r="B140"/>
      <c r="H140"/>
      <c r="L140"/>
    </row>
    <row r="142" spans="2:12" ht="30">
      <c r="B142" s="197" t="s">
        <v>93</v>
      </c>
      <c r="C142" s="197"/>
      <c r="D142" s="197"/>
      <c r="F142" s="197" t="s">
        <v>94</v>
      </c>
      <c r="G142" s="197"/>
      <c r="H142" s="197"/>
      <c r="J142" s="197" t="s">
        <v>95</v>
      </c>
      <c r="K142" s="197"/>
      <c r="L142" s="197"/>
    </row>
    <row r="143" spans="2:12" ht="18.75">
      <c r="B143" s="121" t="s">
        <v>0</v>
      </c>
      <c r="C143" s="128" t="s">
        <v>64</v>
      </c>
      <c r="D143" s="121" t="s">
        <v>70</v>
      </c>
      <c r="E143" s="101"/>
      <c r="F143" s="121" t="s">
        <v>0</v>
      </c>
      <c r="G143" s="128" t="s">
        <v>64</v>
      </c>
      <c r="H143" s="121" t="s">
        <v>70</v>
      </c>
      <c r="I143" s="101"/>
      <c r="J143" s="121" t="s">
        <v>0</v>
      </c>
      <c r="K143" s="128" t="s">
        <v>64</v>
      </c>
      <c r="L143" s="121" t="s">
        <v>70</v>
      </c>
    </row>
    <row r="144" spans="2:12">
      <c r="B144" s="31">
        <v>3</v>
      </c>
      <c r="C144" s="119" t="s">
        <v>56</v>
      </c>
      <c r="D144" s="119">
        <v>12</v>
      </c>
      <c r="F144" s="31">
        <v>5</v>
      </c>
      <c r="G144" s="119" t="s">
        <v>138</v>
      </c>
      <c r="H144" s="119">
        <v>33</v>
      </c>
      <c r="J144" s="31">
        <v>5</v>
      </c>
      <c r="K144" s="119" t="s">
        <v>138</v>
      </c>
      <c r="L144" s="119">
        <v>19.5</v>
      </c>
    </row>
    <row r="145" spans="2:12">
      <c r="B145" s="31">
        <v>5</v>
      </c>
      <c r="C145" s="119" t="s">
        <v>138</v>
      </c>
      <c r="D145" s="119">
        <v>65</v>
      </c>
      <c r="F145" s="119">
        <v>7</v>
      </c>
      <c r="G145" s="119" t="s">
        <v>55</v>
      </c>
      <c r="H145" s="119">
        <v>2.5</v>
      </c>
      <c r="J145" s="119">
        <v>7</v>
      </c>
      <c r="K145" s="119" t="s">
        <v>55</v>
      </c>
      <c r="L145" s="119">
        <v>3.13</v>
      </c>
    </row>
    <row r="146" spans="2:12">
      <c r="B146" s="119">
        <v>7</v>
      </c>
      <c r="C146" s="119" t="s">
        <v>55</v>
      </c>
      <c r="D146" s="119">
        <v>3.96</v>
      </c>
      <c r="F146" s="119">
        <v>10</v>
      </c>
      <c r="G146" s="119" t="s">
        <v>139</v>
      </c>
      <c r="H146" s="119">
        <v>13</v>
      </c>
      <c r="J146" s="119">
        <v>10</v>
      </c>
      <c r="K146" s="119" t="s">
        <v>139</v>
      </c>
      <c r="L146" s="119">
        <v>15.45</v>
      </c>
    </row>
    <row r="147" spans="2:12">
      <c r="B147" s="119">
        <v>10</v>
      </c>
      <c r="C147" s="119" t="s">
        <v>139</v>
      </c>
      <c r="D147" s="119">
        <v>21.75</v>
      </c>
      <c r="F147" s="31">
        <v>16</v>
      </c>
      <c r="G147" s="119" t="s">
        <v>59</v>
      </c>
      <c r="H147" s="119">
        <v>7</v>
      </c>
      <c r="J147" s="31">
        <v>16</v>
      </c>
      <c r="K147" s="119" t="s">
        <v>59</v>
      </c>
      <c r="L147" s="119">
        <v>5.4</v>
      </c>
    </row>
    <row r="148" spans="2:12">
      <c r="B148" s="119">
        <v>15</v>
      </c>
      <c r="C148" s="119" t="s">
        <v>48</v>
      </c>
      <c r="D148" s="119">
        <v>10</v>
      </c>
      <c r="F148" s="31">
        <v>17</v>
      </c>
      <c r="G148" s="119" t="s">
        <v>60</v>
      </c>
      <c r="H148" s="119">
        <v>1</v>
      </c>
      <c r="J148" s="31">
        <v>17</v>
      </c>
      <c r="K148" s="119" t="s">
        <v>60</v>
      </c>
      <c r="L148" s="119">
        <v>1.35</v>
      </c>
    </row>
    <row r="149" spans="2:12">
      <c r="B149" s="31">
        <v>17</v>
      </c>
      <c r="C149" s="119" t="s">
        <v>60</v>
      </c>
      <c r="D149" s="119">
        <v>0.72</v>
      </c>
      <c r="F149" s="119">
        <v>18</v>
      </c>
      <c r="G149" s="119" t="s">
        <v>49</v>
      </c>
      <c r="H149" s="119">
        <v>11</v>
      </c>
      <c r="J149" s="119">
        <v>18</v>
      </c>
      <c r="K149" s="119" t="s">
        <v>49</v>
      </c>
      <c r="L149" s="119">
        <v>9</v>
      </c>
    </row>
    <row r="150" spans="2:12">
      <c r="B150" s="119">
        <v>18</v>
      </c>
      <c r="C150" s="119" t="s">
        <v>49</v>
      </c>
      <c r="D150" s="119">
        <v>2.41</v>
      </c>
      <c r="F150" s="119">
        <v>20</v>
      </c>
      <c r="G150" s="119" t="s">
        <v>51</v>
      </c>
      <c r="H150" s="119">
        <v>5</v>
      </c>
      <c r="J150" s="119">
        <v>20</v>
      </c>
      <c r="K150" s="119" t="s">
        <v>51</v>
      </c>
      <c r="L150" s="119">
        <v>3</v>
      </c>
    </row>
    <row r="151" spans="2:12">
      <c r="B151" s="119">
        <v>20</v>
      </c>
      <c r="C151" s="119" t="s">
        <v>51</v>
      </c>
      <c r="D151" s="119">
        <v>5.04</v>
      </c>
      <c r="F151" s="31" t="s">
        <v>76</v>
      </c>
      <c r="G151" s="31"/>
      <c r="H151" s="31"/>
      <c r="J151" s="31" t="s">
        <v>76</v>
      </c>
      <c r="K151" s="31"/>
      <c r="L151" s="31"/>
    </row>
    <row r="152" spans="2:12">
      <c r="B152" s="31" t="s">
        <v>76</v>
      </c>
      <c r="C152" s="31"/>
      <c r="D152" s="31"/>
      <c r="H152"/>
      <c r="L152"/>
    </row>
    <row r="153" spans="2:12">
      <c r="B153"/>
      <c r="D153"/>
      <c r="H153"/>
      <c r="L153"/>
    </row>
    <row r="154" spans="2:12">
      <c r="B154"/>
      <c r="D154"/>
      <c r="H154"/>
      <c r="L154"/>
    </row>
    <row r="155" spans="2:12">
      <c r="B155"/>
      <c r="D155"/>
      <c r="H155"/>
      <c r="L155"/>
    </row>
    <row r="156" spans="2:12">
      <c r="B156"/>
      <c r="H156"/>
      <c r="L156"/>
    </row>
    <row r="157" spans="2:12">
      <c r="B157"/>
    </row>
    <row r="158" spans="2:12">
      <c r="B158"/>
    </row>
    <row r="159" spans="2:12">
      <c r="B159"/>
    </row>
    <row r="160" spans="2:12">
      <c r="B160"/>
    </row>
    <row r="161" spans="2:12">
      <c r="B161"/>
    </row>
    <row r="162" spans="2:12">
      <c r="B162"/>
    </row>
    <row r="163" spans="2:12">
      <c r="B163"/>
    </row>
    <row r="164" spans="2:12">
      <c r="B164"/>
    </row>
    <row r="165" spans="2:12">
      <c r="B165"/>
    </row>
    <row r="166" spans="2:12">
      <c r="B166"/>
    </row>
    <row r="167" spans="2:12">
      <c r="B167"/>
    </row>
    <row r="168" spans="2:12">
      <c r="B168"/>
    </row>
    <row r="170" spans="2:12" ht="30">
      <c r="B170" s="197" t="s">
        <v>93</v>
      </c>
      <c r="C170" s="197"/>
      <c r="D170" s="197"/>
      <c r="F170" s="197" t="s">
        <v>94</v>
      </c>
      <c r="G170" s="197"/>
      <c r="H170" s="197"/>
      <c r="J170" s="197" t="s">
        <v>95</v>
      </c>
      <c r="K170" s="197"/>
      <c r="L170" s="197"/>
    </row>
    <row r="171" spans="2:12" ht="18.75">
      <c r="B171" s="121" t="s">
        <v>0</v>
      </c>
      <c r="C171" s="128" t="s">
        <v>64</v>
      </c>
      <c r="D171" s="121" t="s">
        <v>71</v>
      </c>
      <c r="E171" s="101"/>
      <c r="F171" s="121" t="s">
        <v>0</v>
      </c>
      <c r="G171" s="128" t="s">
        <v>64</v>
      </c>
      <c r="H171" s="121" t="s">
        <v>71</v>
      </c>
      <c r="I171" s="101"/>
      <c r="J171" s="121" t="s">
        <v>0</v>
      </c>
      <c r="K171" s="128" t="s">
        <v>64</v>
      </c>
      <c r="L171" s="121" t="s">
        <v>71</v>
      </c>
    </row>
    <row r="172" spans="2:12">
      <c r="B172" s="119">
        <v>2</v>
      </c>
      <c r="C172" s="119" t="s">
        <v>53</v>
      </c>
      <c r="D172" s="119">
        <v>14.4</v>
      </c>
      <c r="F172" s="119">
        <v>2</v>
      </c>
      <c r="G172" s="119" t="s">
        <v>53</v>
      </c>
      <c r="H172" s="119">
        <v>17</v>
      </c>
      <c r="J172" s="119">
        <v>2</v>
      </c>
      <c r="K172" s="119" t="s">
        <v>53</v>
      </c>
      <c r="L172" s="119">
        <v>9</v>
      </c>
    </row>
    <row r="173" spans="2:12">
      <c r="B173" s="119">
        <v>7</v>
      </c>
      <c r="C173" s="119" t="s">
        <v>55</v>
      </c>
      <c r="D173" s="119">
        <v>31.55</v>
      </c>
      <c r="F173" s="119">
        <v>7</v>
      </c>
      <c r="G173" s="119" t="s">
        <v>55</v>
      </c>
      <c r="H173" s="119">
        <v>28</v>
      </c>
      <c r="J173" s="119">
        <v>7</v>
      </c>
      <c r="K173" s="119" t="s">
        <v>55</v>
      </c>
      <c r="L173" s="119">
        <v>21.38</v>
      </c>
    </row>
    <row r="174" spans="2:12">
      <c r="B174" s="31">
        <v>17</v>
      </c>
      <c r="C174" s="119" t="s">
        <v>60</v>
      </c>
      <c r="D174" s="119">
        <v>12.12</v>
      </c>
      <c r="F174" s="31">
        <v>17</v>
      </c>
      <c r="G174" s="119" t="s">
        <v>60</v>
      </c>
      <c r="H174" s="119">
        <v>10</v>
      </c>
      <c r="J174" s="31">
        <v>17</v>
      </c>
      <c r="K174" s="119" t="s">
        <v>60</v>
      </c>
      <c r="L174" s="119">
        <v>9.4600000000000009</v>
      </c>
    </row>
    <row r="175" spans="2:12">
      <c r="B175" s="119">
        <v>18</v>
      </c>
      <c r="C175" s="119" t="s">
        <v>49</v>
      </c>
      <c r="D175" s="119">
        <v>5.19</v>
      </c>
      <c r="F175" s="119">
        <v>18</v>
      </c>
      <c r="G175" s="119" t="s">
        <v>49</v>
      </c>
      <c r="H175" s="119">
        <v>4</v>
      </c>
      <c r="J175" s="119">
        <v>18</v>
      </c>
      <c r="K175" s="119" t="s">
        <v>49</v>
      </c>
      <c r="L175" s="119">
        <v>4</v>
      </c>
    </row>
    <row r="176" spans="2:12">
      <c r="B176" s="119">
        <v>20</v>
      </c>
      <c r="C176" s="119" t="s">
        <v>51</v>
      </c>
      <c r="D176" s="119">
        <v>3.84</v>
      </c>
      <c r="F176" s="119">
        <v>20</v>
      </c>
      <c r="G176" s="119" t="s">
        <v>51</v>
      </c>
      <c r="H176" s="119">
        <v>9</v>
      </c>
      <c r="J176" s="31">
        <v>19</v>
      </c>
      <c r="K176" s="119" t="s">
        <v>50</v>
      </c>
      <c r="L176" s="119">
        <v>4.8</v>
      </c>
    </row>
    <row r="177" spans="2:12">
      <c r="B177" s="31" t="s">
        <v>76</v>
      </c>
      <c r="C177" s="31"/>
      <c r="D177" s="31"/>
      <c r="F177" s="31" t="s">
        <v>76</v>
      </c>
      <c r="G177" s="31"/>
      <c r="H177" s="31"/>
      <c r="J177" s="119">
        <v>20</v>
      </c>
      <c r="K177" s="119" t="s">
        <v>51</v>
      </c>
      <c r="L177" s="119">
        <v>2.7</v>
      </c>
    </row>
    <row r="178" spans="2:12">
      <c r="B178"/>
      <c r="D178"/>
      <c r="H178"/>
      <c r="J178" s="31" t="s">
        <v>76</v>
      </c>
      <c r="K178" s="31"/>
      <c r="L178" s="31"/>
    </row>
    <row r="179" spans="2:12">
      <c r="B179"/>
      <c r="D179"/>
      <c r="H179"/>
      <c r="L179"/>
    </row>
    <row r="180" spans="2:12">
      <c r="B180"/>
      <c r="D180"/>
      <c r="H180"/>
      <c r="L180"/>
    </row>
    <row r="181" spans="2:12">
      <c r="B181"/>
      <c r="D181"/>
      <c r="H181"/>
      <c r="L181"/>
    </row>
    <row r="182" spans="2:12">
      <c r="B182"/>
      <c r="D182"/>
      <c r="H182"/>
      <c r="L182"/>
    </row>
    <row r="183" spans="2:12">
      <c r="B183"/>
      <c r="D183"/>
      <c r="H183"/>
      <c r="L183"/>
    </row>
    <row r="184" spans="2:12">
      <c r="B184"/>
      <c r="D184"/>
      <c r="H184"/>
      <c r="L184"/>
    </row>
    <row r="185" spans="2:12">
      <c r="B185"/>
      <c r="H185"/>
      <c r="L185"/>
    </row>
    <row r="186" spans="2:12">
      <c r="B186"/>
      <c r="H186"/>
      <c r="L186"/>
    </row>
    <row r="187" spans="2:12">
      <c r="B187"/>
      <c r="H187"/>
      <c r="L187"/>
    </row>
    <row r="188" spans="2:12">
      <c r="B188"/>
      <c r="H188"/>
      <c r="L188"/>
    </row>
    <row r="189" spans="2:12">
      <c r="B189"/>
      <c r="H189"/>
      <c r="L189"/>
    </row>
    <row r="190" spans="2:12">
      <c r="B190"/>
      <c r="H190"/>
      <c r="L190"/>
    </row>
    <row r="191" spans="2:12">
      <c r="B191"/>
      <c r="H191"/>
      <c r="L191"/>
    </row>
    <row r="192" spans="2:12">
      <c r="B192"/>
      <c r="H192"/>
      <c r="L192"/>
    </row>
    <row r="193" spans="2:12">
      <c r="B193"/>
      <c r="H193"/>
      <c r="L193"/>
    </row>
    <row r="194" spans="2:12">
      <c r="B194"/>
      <c r="H194"/>
      <c r="L194"/>
    </row>
    <row r="195" spans="2:12">
      <c r="B195"/>
      <c r="H195"/>
      <c r="L195"/>
    </row>
    <row r="196" spans="2:12">
      <c r="B196"/>
      <c r="H196"/>
      <c r="L196"/>
    </row>
  </sheetData>
  <mergeCells count="22">
    <mergeCell ref="B58:D58"/>
    <mergeCell ref="B1:L1"/>
    <mergeCell ref="F58:H58"/>
    <mergeCell ref="J58:L58"/>
    <mergeCell ref="B86:D86"/>
    <mergeCell ref="B2:D2"/>
    <mergeCell ref="F2:H2"/>
    <mergeCell ref="J2:L2"/>
    <mergeCell ref="B30:D30"/>
    <mergeCell ref="F30:H30"/>
    <mergeCell ref="J30:L30"/>
    <mergeCell ref="B170:D170"/>
    <mergeCell ref="F170:H170"/>
    <mergeCell ref="J170:L170"/>
    <mergeCell ref="F86:H86"/>
    <mergeCell ref="J86:L86"/>
    <mergeCell ref="B114:D114"/>
    <mergeCell ref="F114:H114"/>
    <mergeCell ref="J114:L114"/>
    <mergeCell ref="B142:D142"/>
    <mergeCell ref="F142:H142"/>
    <mergeCell ref="J142:L142"/>
  </mergeCells>
  <pageMargins left="0.23622047244094488" right="0.23622047244094488" top="0.3543307086614173" bottom="0.74803149606299213" header="0" footer="0"/>
  <pageSetup paperSize="280" scale="10" fitToWidth="0" orientation="landscape" r:id="rId2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C1:E120"/>
  <sheetViews>
    <sheetView topLeftCell="A106" workbookViewId="0">
      <selection activeCell="E120" sqref="C115:E120"/>
    </sheetView>
  </sheetViews>
  <sheetFormatPr baseColWidth="10" defaultRowHeight="15"/>
  <cols>
    <col min="2" max="2" width="5.28515625" customWidth="1"/>
    <col min="3" max="3" width="5.42578125" customWidth="1"/>
    <col min="4" max="4" width="40.7109375" customWidth="1"/>
    <col min="5" max="5" width="10.7109375" bestFit="1" customWidth="1"/>
  </cols>
  <sheetData>
    <row r="1" spans="3:5">
      <c r="C1" s="200" t="str">
        <f>('ORDENES '!L1)</f>
        <v>11-17 enero</v>
      </c>
      <c r="D1" s="200"/>
    </row>
    <row r="2" spans="3:5">
      <c r="C2" s="200"/>
      <c r="D2" s="200"/>
    </row>
    <row r="3" spans="3:5" ht="30">
      <c r="C3" s="199" t="s">
        <v>29</v>
      </c>
      <c r="D3" s="199"/>
    </row>
    <row r="4" spans="3:5" ht="18.75">
      <c r="C4" s="120" t="s">
        <v>0</v>
      </c>
      <c r="D4" s="128" t="s">
        <v>64</v>
      </c>
      <c r="E4" s="120" t="s">
        <v>71</v>
      </c>
    </row>
    <row r="5" spans="3:5">
      <c r="C5" s="119">
        <v>7</v>
      </c>
      <c r="D5" s="119" t="s">
        <v>55</v>
      </c>
      <c r="E5" s="119">
        <v>10</v>
      </c>
    </row>
    <row r="6" spans="3:5">
      <c r="C6" s="119">
        <v>16</v>
      </c>
      <c r="D6" s="119" t="s">
        <v>59</v>
      </c>
      <c r="E6" s="119">
        <v>6</v>
      </c>
    </row>
    <row r="7" spans="3:5">
      <c r="C7" s="119">
        <v>17</v>
      </c>
      <c r="D7" s="119" t="s">
        <v>60</v>
      </c>
      <c r="E7" s="119">
        <v>4</v>
      </c>
    </row>
    <row r="8" spans="3:5">
      <c r="C8" s="119">
        <v>18</v>
      </c>
      <c r="D8" s="119" t="s">
        <v>49</v>
      </c>
      <c r="E8" s="119">
        <v>12</v>
      </c>
    </row>
    <row r="9" spans="3:5">
      <c r="C9" s="119" t="s">
        <v>76</v>
      </c>
      <c r="D9" s="119"/>
      <c r="E9" s="119"/>
    </row>
    <row r="31" spans="3:5" ht="30">
      <c r="C31" s="199" t="s">
        <v>29</v>
      </c>
      <c r="D31" s="199"/>
    </row>
    <row r="32" spans="3:5" ht="18.75">
      <c r="C32" s="120" t="s">
        <v>0</v>
      </c>
      <c r="D32" s="128" t="s">
        <v>64</v>
      </c>
      <c r="E32" s="128" t="s">
        <v>65</v>
      </c>
    </row>
    <row r="33" spans="3:5">
      <c r="C33" s="119">
        <v>2</v>
      </c>
      <c r="D33" s="119" t="s">
        <v>53</v>
      </c>
      <c r="E33" s="119">
        <v>6</v>
      </c>
    </row>
    <row r="34" spans="3:5">
      <c r="C34" s="119">
        <v>7</v>
      </c>
      <c r="D34" s="119" t="s">
        <v>55</v>
      </c>
      <c r="E34" s="119">
        <v>10</v>
      </c>
    </row>
    <row r="35" spans="3:5">
      <c r="C35" s="119">
        <v>17</v>
      </c>
      <c r="D35" s="119" t="s">
        <v>60</v>
      </c>
      <c r="E35" s="119">
        <v>2.5</v>
      </c>
    </row>
    <row r="36" spans="3:5">
      <c r="C36" s="119">
        <v>18</v>
      </c>
      <c r="D36" s="119" t="s">
        <v>49</v>
      </c>
      <c r="E36" s="119">
        <v>5</v>
      </c>
    </row>
    <row r="37" spans="3:5">
      <c r="C37" s="119" t="s">
        <v>76</v>
      </c>
      <c r="D37" s="119"/>
      <c r="E37" s="119"/>
    </row>
    <row r="59" spans="3:5" ht="30">
      <c r="C59" s="199" t="s">
        <v>29</v>
      </c>
      <c r="D59" s="199"/>
    </row>
    <row r="60" spans="3:5" ht="18.75">
      <c r="C60" s="120" t="s">
        <v>0</v>
      </c>
      <c r="D60" s="128" t="s">
        <v>64</v>
      </c>
      <c r="E60" s="120" t="s">
        <v>66</v>
      </c>
    </row>
    <row r="61" spans="3:5">
      <c r="C61" s="119">
        <v>7</v>
      </c>
      <c r="D61" s="119" t="s">
        <v>55</v>
      </c>
      <c r="E61" s="119">
        <v>2.5</v>
      </c>
    </row>
    <row r="62" spans="3:5">
      <c r="C62" s="119">
        <v>17</v>
      </c>
      <c r="D62" s="119" t="s">
        <v>60</v>
      </c>
      <c r="E62" s="119">
        <v>1.5</v>
      </c>
    </row>
    <row r="63" spans="3:5">
      <c r="C63" s="119">
        <v>18</v>
      </c>
      <c r="D63" s="119" t="s">
        <v>49</v>
      </c>
      <c r="E63" s="119">
        <v>4</v>
      </c>
    </row>
    <row r="64" spans="3:5">
      <c r="C64" s="119" t="s">
        <v>76</v>
      </c>
      <c r="D64" s="119"/>
      <c r="E64" s="119"/>
    </row>
    <row r="87" spans="3:5" ht="30">
      <c r="C87" s="199" t="s">
        <v>29</v>
      </c>
      <c r="D87" s="199"/>
    </row>
    <row r="88" spans="3:5" ht="18.75">
      <c r="C88" s="120" t="s">
        <v>0</v>
      </c>
      <c r="D88" s="128" t="s">
        <v>64</v>
      </c>
      <c r="E88" s="120" t="s">
        <v>67</v>
      </c>
    </row>
    <row r="89" spans="3:5">
      <c r="C89" s="119">
        <v>7</v>
      </c>
      <c r="D89" s="119" t="s">
        <v>55</v>
      </c>
      <c r="E89" s="119">
        <v>5</v>
      </c>
    </row>
    <row r="90" spans="3:5">
      <c r="C90" s="119">
        <v>12</v>
      </c>
      <c r="D90" s="119" t="s">
        <v>44</v>
      </c>
      <c r="E90" s="119">
        <v>4</v>
      </c>
    </row>
    <row r="91" spans="3:5">
      <c r="C91" s="119">
        <v>18</v>
      </c>
      <c r="D91" s="119" t="s">
        <v>49</v>
      </c>
      <c r="E91" s="119">
        <v>5</v>
      </c>
    </row>
    <row r="92" spans="3:5">
      <c r="C92" s="119" t="s">
        <v>76</v>
      </c>
      <c r="D92" s="119"/>
      <c r="E92" s="119"/>
    </row>
    <row r="115" spans="3:5" ht="30">
      <c r="C115" s="199" t="s">
        <v>29</v>
      </c>
      <c r="D115" s="199"/>
    </row>
    <row r="116" spans="3:5" ht="18.75">
      <c r="C116" s="120" t="s">
        <v>0</v>
      </c>
      <c r="D116" s="128" t="s">
        <v>64</v>
      </c>
      <c r="E116" s="120" t="s">
        <v>68</v>
      </c>
    </row>
    <row r="117" spans="3:5">
      <c r="C117" s="119">
        <v>7</v>
      </c>
      <c r="D117" s="119" t="s">
        <v>55</v>
      </c>
      <c r="E117" s="119">
        <v>1.5</v>
      </c>
    </row>
    <row r="118" spans="3:5">
      <c r="C118" s="119">
        <v>17</v>
      </c>
      <c r="D118" s="119" t="s">
        <v>60</v>
      </c>
      <c r="E118" s="119">
        <v>5</v>
      </c>
    </row>
    <row r="119" spans="3:5">
      <c r="C119" s="119">
        <v>18</v>
      </c>
      <c r="D119" s="119" t="s">
        <v>49</v>
      </c>
      <c r="E119" s="119">
        <v>5</v>
      </c>
    </row>
    <row r="120" spans="3:5">
      <c r="C120" s="119" t="s">
        <v>76</v>
      </c>
      <c r="D120" s="119"/>
      <c r="E120" s="119"/>
    </row>
  </sheetData>
  <mergeCells count="6">
    <mergeCell ref="C115:D115"/>
    <mergeCell ref="C1:D2"/>
    <mergeCell ref="C3:D3"/>
    <mergeCell ref="C31:D31"/>
    <mergeCell ref="C59:D59"/>
    <mergeCell ref="C87:D87"/>
  </mergeCells>
  <pageMargins left="0.7" right="0.7" top="0.75" bottom="0.75" header="0.3" footer="0.3"/>
  <pageSetup paperSize="280" scale="11" orientation="landscape" r:id="rId6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H26"/>
  <sheetViews>
    <sheetView workbookViewId="0">
      <selection activeCell="K15" sqref="K15"/>
    </sheetView>
  </sheetViews>
  <sheetFormatPr baseColWidth="10" defaultRowHeight="15"/>
  <cols>
    <col min="2" max="2" width="4.42578125" style="52" customWidth="1"/>
    <col min="3" max="3" width="33.28515625" style="6" customWidth="1"/>
    <col min="4" max="7" width="9.7109375" style="98" customWidth="1"/>
    <col min="8" max="8" width="14.42578125" style="98" customWidth="1"/>
  </cols>
  <sheetData>
    <row r="1" spans="2:8" ht="44.25" customHeight="1">
      <c r="B1" s="201" t="s">
        <v>101</v>
      </c>
      <c r="C1" s="201"/>
      <c r="D1" s="201"/>
      <c r="E1" s="201"/>
      <c r="F1" s="201"/>
      <c r="G1" s="201"/>
      <c r="H1" s="201"/>
    </row>
    <row r="2" spans="2:8">
      <c r="B2" s="113" t="str">
        <f>'ORDENES '!B2</f>
        <v>No.</v>
      </c>
      <c r="C2" s="114" t="str">
        <f>'ORDENES '!C2</f>
        <v>PRODUCTO</v>
      </c>
      <c r="D2" s="113" t="str">
        <f>('ORDENES '!K2)</f>
        <v>Kilos 1</v>
      </c>
      <c r="E2" s="113" t="str">
        <f>'ORDENES '!V2</f>
        <v>Kilos 2</v>
      </c>
      <c r="F2" s="113" t="str">
        <f>'ORDENES '!K30</f>
        <v>Kilos 3</v>
      </c>
      <c r="G2" s="113" t="str">
        <f>'ORDENES '!T30</f>
        <v>Kilos Gua</v>
      </c>
      <c r="H2" s="113" t="s">
        <v>100</v>
      </c>
    </row>
    <row r="3" spans="2:8">
      <c r="B3" s="118">
        <f>'ORDENES '!B3</f>
        <v>1</v>
      </c>
      <c r="C3" s="115" t="str">
        <f>'ORDENES '!C3</f>
        <v>CHULETA DE CERDO</v>
      </c>
      <c r="D3" s="116">
        <f>('ORDENES '!K3)</f>
        <v>0</v>
      </c>
      <c r="E3" s="116">
        <f>'ORDENES '!V3</f>
        <v>0</v>
      </c>
      <c r="F3" s="116">
        <f>'ORDENES '!K31</f>
        <v>0</v>
      </c>
      <c r="G3" s="116">
        <f>'ORDENES '!T31</f>
        <v>0</v>
      </c>
      <c r="H3" s="117">
        <f>SUM(D3:G3)</f>
        <v>0</v>
      </c>
    </row>
    <row r="4" spans="2:8">
      <c r="B4" s="118">
        <f>'ORDENES '!B4</f>
        <v>2</v>
      </c>
      <c r="C4" s="115" t="str">
        <f>'ORDENES '!C4</f>
        <v>LOMO DE CERDO</v>
      </c>
      <c r="D4" s="116">
        <f>('ORDENES '!K4)</f>
        <v>26.4</v>
      </c>
      <c r="E4" s="116">
        <f>'ORDENES '!V4</f>
        <v>44</v>
      </c>
      <c r="F4" s="116">
        <f>'ORDENES '!K32</f>
        <v>24</v>
      </c>
      <c r="G4" s="116">
        <f>'ORDENES '!T32</f>
        <v>6</v>
      </c>
      <c r="H4" s="117">
        <f t="shared" ref="H4:H26" si="0">SUM(D4:G4)</f>
        <v>100.4</v>
      </c>
    </row>
    <row r="5" spans="2:8">
      <c r="B5" s="118">
        <f>'ORDENES '!B5</f>
        <v>3</v>
      </c>
      <c r="C5" s="115" t="str">
        <f>'ORDENES '!C5</f>
        <v>PIERNA DE CERDO EN TROZO</v>
      </c>
      <c r="D5" s="116">
        <f>('ORDENES '!K5)</f>
        <v>40.799999999999997</v>
      </c>
      <c r="E5" s="116">
        <f>'ORDENES '!V5</f>
        <v>17</v>
      </c>
      <c r="F5" s="116">
        <f>'ORDENES '!K33</f>
        <v>9</v>
      </c>
      <c r="G5" s="116">
        <f>'ORDENES '!T33</f>
        <v>0</v>
      </c>
      <c r="H5" s="117">
        <f t="shared" si="0"/>
        <v>66.8</v>
      </c>
    </row>
    <row r="6" spans="2:8">
      <c r="B6" s="118">
        <f>'ORDENES '!B6</f>
        <v>4</v>
      </c>
      <c r="C6" s="115" t="str">
        <f>'ORDENES '!C6</f>
        <v>PIERNA DE CERDO MOLIDA</v>
      </c>
      <c r="D6" s="116">
        <f>('ORDENES '!K6)</f>
        <v>0</v>
      </c>
      <c r="E6" s="116">
        <f>'ORDENES '!V6</f>
        <v>0</v>
      </c>
      <c r="F6" s="116">
        <f>'ORDENES '!K34</f>
        <v>0</v>
      </c>
      <c r="G6" s="116">
        <f>'ORDENES '!T34</f>
        <v>0</v>
      </c>
      <c r="H6" s="117">
        <f t="shared" si="0"/>
        <v>0</v>
      </c>
    </row>
    <row r="7" spans="2:8">
      <c r="B7" s="118">
        <f>'ORDENES '!B7</f>
        <v>5</v>
      </c>
      <c r="C7" s="115" t="str">
        <f>'ORDENES '!C7</f>
        <v>MERO EN FILETE CONGELADO</v>
      </c>
      <c r="D7" s="116">
        <f>('ORDENES '!K7)</f>
        <v>65</v>
      </c>
      <c r="E7" s="116">
        <f>'ORDENES '!V7</f>
        <v>33</v>
      </c>
      <c r="F7" s="116">
        <f>'ORDENES '!K35</f>
        <v>19.5</v>
      </c>
      <c r="G7" s="116">
        <f>'ORDENES '!T35</f>
        <v>0</v>
      </c>
      <c r="H7" s="117">
        <f t="shared" si="0"/>
        <v>117.5</v>
      </c>
    </row>
    <row r="8" spans="2:8">
      <c r="B8" s="118">
        <f>'ORDENES '!B8</f>
        <v>6</v>
      </c>
      <c r="C8" s="115" t="str">
        <f>'ORDENES '!C8</f>
        <v xml:space="preserve">PECHUGA DE POLLO </v>
      </c>
      <c r="D8" s="116">
        <f>('ORDENES '!K8)</f>
        <v>0</v>
      </c>
      <c r="E8" s="116">
        <f>'ORDENES '!V8</f>
        <v>0</v>
      </c>
      <c r="F8" s="116">
        <f>'ORDENES '!K36</f>
        <v>0</v>
      </c>
      <c r="G8" s="116">
        <f>'ORDENES '!T36</f>
        <v>0</v>
      </c>
      <c r="H8" s="117">
        <f t="shared" si="0"/>
        <v>0</v>
      </c>
    </row>
    <row r="9" spans="2:8">
      <c r="B9" s="118">
        <f>'ORDENES '!B9</f>
        <v>7</v>
      </c>
      <c r="C9" s="115" t="str">
        <f>'ORDENES '!C9</f>
        <v>PECHUGA DE POLLO DESHUESADA</v>
      </c>
      <c r="D9" s="116">
        <f>('ORDENES '!K9)</f>
        <v>106.37</v>
      </c>
      <c r="E9" s="116">
        <f>'ORDENES '!V9</f>
        <v>90</v>
      </c>
      <c r="F9" s="116">
        <f>'ORDENES '!K37</f>
        <v>82.66</v>
      </c>
      <c r="G9" s="116">
        <f>'ORDENES '!T37</f>
        <v>29</v>
      </c>
      <c r="H9" s="117">
        <f t="shared" si="0"/>
        <v>308.02999999999997</v>
      </c>
    </row>
    <row r="10" spans="2:8">
      <c r="B10" s="118">
        <f>'ORDENES '!B10</f>
        <v>8</v>
      </c>
      <c r="C10" s="115" t="str">
        <f>'ORDENES '!C10</f>
        <v>PECHUGA  DESHUESADA EN BISTEC</v>
      </c>
      <c r="D10" s="116">
        <f>('ORDENES '!K10)</f>
        <v>22.92</v>
      </c>
      <c r="E10" s="116">
        <f>'ORDENES '!V10</f>
        <v>14.5</v>
      </c>
      <c r="F10" s="116">
        <f>'ORDENES '!K38</f>
        <v>14.67</v>
      </c>
      <c r="G10" s="116">
        <f>'ORDENES '!T38</f>
        <v>0</v>
      </c>
      <c r="H10" s="117">
        <f t="shared" si="0"/>
        <v>52.09</v>
      </c>
    </row>
    <row r="11" spans="2:8">
      <c r="B11" s="118">
        <f>'ORDENES '!B11</f>
        <v>9</v>
      </c>
      <c r="C11" s="115" t="str">
        <f>'ORDENES '!C11</f>
        <v>PECHUGA DE POLLO  MÓLIDA</v>
      </c>
      <c r="D11" s="116">
        <f>('ORDENES '!K11)</f>
        <v>0</v>
      </c>
      <c r="E11" s="116">
        <f>'ORDENES '!V11</f>
        <v>0</v>
      </c>
      <c r="F11" s="116">
        <f>'ORDENES '!K39</f>
        <v>0</v>
      </c>
      <c r="G11" s="116">
        <f>'ORDENES '!T39</f>
        <v>0</v>
      </c>
      <c r="H11" s="117">
        <f t="shared" si="0"/>
        <v>0</v>
      </c>
    </row>
    <row r="12" spans="2:8">
      <c r="B12" s="118">
        <f>'ORDENES '!B12</f>
        <v>10</v>
      </c>
      <c r="C12" s="115" t="str">
        <f>'ORDENES '!C12</f>
        <v>PIERNA Y MUSLO DE POLLO SIN PIEL EN FORMA DE PISTOLA</v>
      </c>
      <c r="D12" s="116">
        <f>('ORDENES '!K12)</f>
        <v>80.7</v>
      </c>
      <c r="E12" s="116">
        <f>'ORDENES '!V12</f>
        <v>74</v>
      </c>
      <c r="F12" s="116">
        <f>'ORDENES '!K40</f>
        <v>53.400000000000006</v>
      </c>
      <c r="G12" s="116">
        <f>'ORDENES '!T40</f>
        <v>0</v>
      </c>
      <c r="H12" s="117">
        <f t="shared" si="0"/>
        <v>208.1</v>
      </c>
    </row>
    <row r="13" spans="2:8">
      <c r="B13" s="118">
        <f>'ORDENES '!B13</f>
        <v>11</v>
      </c>
      <c r="C13" s="115" t="str">
        <f>'ORDENES '!C13</f>
        <v>POLLO ENTERO</v>
      </c>
      <c r="D13" s="116">
        <f>('ORDENES '!K13)</f>
        <v>0</v>
      </c>
      <c r="E13" s="116">
        <f>'ORDENES '!V13</f>
        <v>0</v>
      </c>
      <c r="F13" s="116">
        <f>'ORDENES '!K41</f>
        <v>0</v>
      </c>
      <c r="G13" s="116">
        <f>'ORDENES '!T41</f>
        <v>0</v>
      </c>
      <c r="H13" s="117">
        <f t="shared" si="0"/>
        <v>0</v>
      </c>
    </row>
    <row r="14" spans="2:8">
      <c r="B14" s="118">
        <f>'ORDENES '!B14</f>
        <v>12</v>
      </c>
      <c r="C14" s="115" t="str">
        <f>'ORDENES '!C14</f>
        <v>BISTEC DE PIERNA DE RES</v>
      </c>
      <c r="D14" s="116">
        <f>('ORDENES '!K14)</f>
        <v>45.35</v>
      </c>
      <c r="E14" s="116">
        <f>'ORDENES '!V14</f>
        <v>53</v>
      </c>
      <c r="F14" s="116">
        <f>'ORDENES '!K42</f>
        <v>39.299999999999997</v>
      </c>
      <c r="G14" s="116">
        <f>'ORDENES '!T42</f>
        <v>4</v>
      </c>
      <c r="H14" s="117">
        <f t="shared" si="0"/>
        <v>141.64999999999998</v>
      </c>
    </row>
    <row r="15" spans="2:8">
      <c r="B15" s="118">
        <f>'ORDENES '!B15</f>
        <v>13</v>
      </c>
      <c r="C15" s="115" t="str">
        <f>'ORDENES '!C15</f>
        <v>CHAMBARETE DE RES</v>
      </c>
      <c r="D15" s="116">
        <f>('ORDENES '!K15)</f>
        <v>0</v>
      </c>
      <c r="E15" s="116">
        <f>'ORDENES '!V15</f>
        <v>0</v>
      </c>
      <c r="F15" s="116">
        <f>'ORDENES '!K43</f>
        <v>0</v>
      </c>
      <c r="G15" s="116">
        <f>'ORDENES '!T43</f>
        <v>0</v>
      </c>
      <c r="H15" s="117">
        <f t="shared" si="0"/>
        <v>0</v>
      </c>
    </row>
    <row r="16" spans="2:8">
      <c r="B16" s="118">
        <f>'ORDENES '!B16</f>
        <v>14</v>
      </c>
      <c r="C16" s="115" t="str">
        <f>'ORDENES '!C16</f>
        <v>CUETE DE PIERNA DE RES</v>
      </c>
      <c r="D16" s="116">
        <f>('ORDENES '!K16)</f>
        <v>0</v>
      </c>
      <c r="E16" s="116">
        <f>'ORDENES '!V16</f>
        <v>0</v>
      </c>
      <c r="F16" s="116">
        <f>'ORDENES '!K44</f>
        <v>0</v>
      </c>
      <c r="G16" s="116">
        <f>'ORDENES '!T44</f>
        <v>0</v>
      </c>
      <c r="H16" s="117">
        <f t="shared" si="0"/>
        <v>0</v>
      </c>
    </row>
    <row r="17" spans="2:8">
      <c r="B17" s="118">
        <f>'ORDENES '!B17</f>
        <v>15</v>
      </c>
      <c r="C17" s="115" t="str">
        <f>'ORDENES '!C17</f>
        <v>FALDA DE RES</v>
      </c>
      <c r="D17" s="116">
        <f>('ORDENES '!K17)</f>
        <v>32.799999999999997</v>
      </c>
      <c r="E17" s="116">
        <f>'ORDENES '!V17</f>
        <v>0</v>
      </c>
      <c r="F17" s="116">
        <f>'ORDENES '!K45</f>
        <v>0</v>
      </c>
      <c r="G17" s="116">
        <f>'ORDENES '!T45</f>
        <v>0</v>
      </c>
      <c r="H17" s="117">
        <f t="shared" si="0"/>
        <v>32.799999999999997</v>
      </c>
    </row>
    <row r="18" spans="2:8">
      <c r="B18" s="118">
        <f>'ORDENES '!B18</f>
        <v>16</v>
      </c>
      <c r="C18" s="115" t="str">
        <f>'ORDENES '!C18</f>
        <v>PULPA DE RES EN TROZO</v>
      </c>
      <c r="D18" s="116">
        <f>('ORDENES '!K18)</f>
        <v>17.7</v>
      </c>
      <c r="E18" s="116">
        <f>'ORDENES '!V18</f>
        <v>30</v>
      </c>
      <c r="F18" s="116">
        <f>'ORDENES '!K46</f>
        <v>19.8</v>
      </c>
      <c r="G18" s="116">
        <f>'ORDENES '!T46</f>
        <v>6</v>
      </c>
      <c r="H18" s="117">
        <f t="shared" si="0"/>
        <v>73.5</v>
      </c>
    </row>
    <row r="19" spans="2:8">
      <c r="B19" s="118">
        <f>'ORDENES '!B19</f>
        <v>17</v>
      </c>
      <c r="C19" s="115" t="str">
        <f>'ORDENES '!C19</f>
        <v>PULPA DE RES MOLIDA</v>
      </c>
      <c r="D19" s="116">
        <f>('ORDENES '!K19)</f>
        <v>36.239999999999995</v>
      </c>
      <c r="E19" s="116">
        <f>'ORDENES '!V19</f>
        <v>32</v>
      </c>
      <c r="F19" s="116">
        <f>'ORDENES '!K47</f>
        <v>27.550000000000004</v>
      </c>
      <c r="G19" s="116">
        <f>'ORDENES '!T47</f>
        <v>13</v>
      </c>
      <c r="H19" s="117">
        <f t="shared" si="0"/>
        <v>108.78999999999999</v>
      </c>
    </row>
    <row r="20" spans="2:8">
      <c r="B20" s="118">
        <f>'ORDENES '!B20</f>
        <v>18</v>
      </c>
      <c r="C20" s="115" t="str">
        <f>'ORDENES '!C20</f>
        <v>HUEVO ENTERO</v>
      </c>
      <c r="D20" s="116">
        <f>('ORDENES '!K20)</f>
        <v>63.499999999999986</v>
      </c>
      <c r="E20" s="116">
        <f>'ORDENES '!V20</f>
        <v>77.5</v>
      </c>
      <c r="F20" s="116">
        <f>'ORDENES '!K48</f>
        <v>66</v>
      </c>
      <c r="G20" s="116">
        <f>'ORDENES '!T48</f>
        <v>31</v>
      </c>
      <c r="H20" s="117">
        <f t="shared" si="0"/>
        <v>238</v>
      </c>
    </row>
    <row r="21" spans="2:8">
      <c r="B21" s="118">
        <f>'ORDENES '!B21</f>
        <v>19</v>
      </c>
      <c r="C21" s="115" t="str">
        <f>'ORDENES '!C21</f>
        <v>JAMÓN DE CERDO FINO CON 16% DE PROTEÍNA</v>
      </c>
      <c r="D21" s="116">
        <f>('ORDENES '!K21)</f>
        <v>0</v>
      </c>
      <c r="E21" s="116">
        <f>'ORDENES '!V21</f>
        <v>0</v>
      </c>
      <c r="F21" s="116">
        <f>'ORDENES '!K49</f>
        <v>12.3</v>
      </c>
      <c r="G21" s="116">
        <f>'ORDENES '!T49</f>
        <v>0</v>
      </c>
      <c r="H21" s="117">
        <f t="shared" si="0"/>
        <v>12.3</v>
      </c>
    </row>
    <row r="22" spans="2:8">
      <c r="B22" s="118">
        <f>'ORDENES '!B22</f>
        <v>20</v>
      </c>
      <c r="C22" s="115" t="str">
        <f>'ORDENES '!C22</f>
        <v>JAMÓN DE PAVO</v>
      </c>
      <c r="D22" s="116">
        <f>('ORDENES '!K22)</f>
        <v>19.68</v>
      </c>
      <c r="E22" s="116">
        <f>'ORDENES '!V22</f>
        <v>36.5</v>
      </c>
      <c r="F22" s="116">
        <f>'ORDENES '!K50</f>
        <v>11.760000000000002</v>
      </c>
      <c r="G22" s="116">
        <f>'ORDENES '!T50</f>
        <v>0</v>
      </c>
      <c r="H22" s="117">
        <f t="shared" si="0"/>
        <v>67.94</v>
      </c>
    </row>
    <row r="23" spans="2:8">
      <c r="B23" s="118">
        <f>'ORDENES '!B23</f>
        <v>21</v>
      </c>
      <c r="C23" s="115" t="str">
        <f>'ORDENES '!C23</f>
        <v>JAMÓN DE PECHUGA DE PAVO</v>
      </c>
      <c r="D23" s="116">
        <f>('ORDENES '!K23)</f>
        <v>1.88</v>
      </c>
      <c r="E23" s="116">
        <f>'ORDENES '!V23</f>
        <v>0</v>
      </c>
      <c r="F23" s="116">
        <f>'ORDENES '!K51</f>
        <v>0.9</v>
      </c>
      <c r="G23" s="116">
        <f>'ORDENES '!T51</f>
        <v>0</v>
      </c>
      <c r="H23" s="117">
        <f t="shared" si="0"/>
        <v>2.78</v>
      </c>
    </row>
    <row r="24" spans="2:8">
      <c r="B24" s="118">
        <f>'ORDENES '!B24</f>
        <v>22</v>
      </c>
      <c r="C24" s="115" t="str">
        <f>'ORDENES '!C24</f>
        <v>MORTADELA</v>
      </c>
      <c r="D24" s="116">
        <f>('ORDENES '!K24)</f>
        <v>0</v>
      </c>
      <c r="E24" s="116">
        <f>'ORDENES '!V24</f>
        <v>0</v>
      </c>
      <c r="F24" s="116">
        <f>'ORDENES '!K52</f>
        <v>0</v>
      </c>
      <c r="G24" s="116">
        <f>'ORDENES '!T52</f>
        <v>0</v>
      </c>
      <c r="H24" s="117">
        <f t="shared" si="0"/>
        <v>0</v>
      </c>
    </row>
    <row r="25" spans="2:8">
      <c r="B25" s="118">
        <f>'ORDENES '!B25</f>
        <v>23</v>
      </c>
      <c r="C25" s="115" t="str">
        <f>'ORDENES '!C25</f>
        <v>SALCHICHA DE CERDO VIENA</v>
      </c>
      <c r="D25" s="116">
        <f>('ORDENES '!K25)</f>
        <v>5.5</v>
      </c>
      <c r="E25" s="116">
        <f>'ORDENES '!V25</f>
        <v>5</v>
      </c>
      <c r="F25" s="116">
        <f>'ORDENES '!K53</f>
        <v>3.55</v>
      </c>
      <c r="G25" s="116">
        <f>'ORDENES '!T53</f>
        <v>0</v>
      </c>
      <c r="H25" s="117">
        <f t="shared" si="0"/>
        <v>14.05</v>
      </c>
    </row>
    <row r="26" spans="2:8">
      <c r="B26" s="118">
        <f>'ORDENES '!B26</f>
        <v>24</v>
      </c>
      <c r="C26" s="115" t="str">
        <f>'ORDENES '!C26</f>
        <v>SALCHICHA DE PAVO VIENA</v>
      </c>
      <c r="D26" s="116">
        <f>('ORDENES '!K26)</f>
        <v>7.72</v>
      </c>
      <c r="E26" s="116">
        <f>'ORDENES '!V26</f>
        <v>9</v>
      </c>
      <c r="F26" s="116">
        <f>'ORDENES '!K54</f>
        <v>5.1000000000000005</v>
      </c>
      <c r="G26" s="116">
        <f>'ORDENES '!T54</f>
        <v>0</v>
      </c>
      <c r="H26" s="117">
        <f t="shared" si="0"/>
        <v>21.82</v>
      </c>
    </row>
  </sheetData>
  <mergeCells count="1">
    <mergeCell ref="B1:H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38</vt:i4>
      </vt:variant>
    </vt:vector>
  </HeadingPairs>
  <TitlesOfParts>
    <vt:vector size="38" baseType="lpstr">
      <vt:lpstr>01# Mar</vt:lpstr>
      <vt:lpstr>01# Mier</vt:lpstr>
      <vt:lpstr>01# Juev</vt:lpstr>
      <vt:lpstr>01# Viern</vt:lpstr>
      <vt:lpstr>01# Saba</vt:lpstr>
      <vt:lpstr>01# Dom</vt:lpstr>
      <vt:lpstr>01# Lun</vt:lpstr>
      <vt:lpstr>02# Mar</vt:lpstr>
      <vt:lpstr>02# Mier</vt:lpstr>
      <vt:lpstr>02# Juev</vt:lpstr>
      <vt:lpstr>02# Viern</vt:lpstr>
      <vt:lpstr>02# Saba</vt:lpstr>
      <vt:lpstr>02# Dom</vt:lpstr>
      <vt:lpstr>02# Lun</vt:lpstr>
      <vt:lpstr>03# Mar</vt:lpstr>
      <vt:lpstr>03# Mier</vt:lpstr>
      <vt:lpstr>03# Juev</vt:lpstr>
      <vt:lpstr>03# Viern</vt:lpstr>
      <vt:lpstr>03# Saba</vt:lpstr>
      <vt:lpstr>03# Dom</vt:lpstr>
      <vt:lpstr>03# Lun</vt:lpstr>
      <vt:lpstr>Gua# Lun</vt:lpstr>
      <vt:lpstr>Gua# Mar</vt:lpstr>
      <vt:lpstr>Gua# Mie</vt:lpstr>
      <vt:lpstr>Gua# Juev</vt:lpstr>
      <vt:lpstr>Gua# Vier</vt:lpstr>
      <vt:lpstr>IMSS 1</vt:lpstr>
      <vt:lpstr>IMSS 2</vt:lpstr>
      <vt:lpstr>IMSS3</vt:lpstr>
      <vt:lpstr>GUARDERIA</vt:lpstr>
      <vt:lpstr>Totales</vt:lpstr>
      <vt:lpstr>PRECIOS</vt:lpstr>
      <vt:lpstr>ORDENES </vt:lpstr>
      <vt:lpstr>Hoja1</vt:lpstr>
      <vt:lpstr>PEDIDOS 2000</vt:lpstr>
      <vt:lpstr>Ped Guarde</vt:lpstr>
      <vt:lpstr>Kilos</vt:lpstr>
      <vt:lpstr>Hoja34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Vaio</dc:creator>
  <cp:lastModifiedBy>luism</cp:lastModifiedBy>
  <cp:lastPrinted>2022-01-15T15:30:05Z</cp:lastPrinted>
  <dcterms:created xsi:type="dcterms:W3CDTF">2018-01-10T16:01:44Z</dcterms:created>
  <dcterms:modified xsi:type="dcterms:W3CDTF">2022-01-28T15:07:42Z</dcterms:modified>
</cp:coreProperties>
</file>